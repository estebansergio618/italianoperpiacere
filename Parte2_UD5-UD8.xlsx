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📋 Cómo usar" sheetId="1" state="visible" r:id="rId3"/>
    <sheet name="🗺️ Roadmap" sheetId="2" state="visible" r:id="rId4"/>
    <sheet name="✅ Contrato de estructura" sheetId="3" state="visible" r:id="rId5"/>
    <sheet name="🔧 Correcciones heredadas" sheetId="4" state="visible" r:id="rId6"/>
    <sheet name="❓ Decisiones Carolina" sheetId="5" state="visible" r:id="rId7"/>
    <sheet name="🎧 Audios" sheetId="6" state="visible" r:id="rId8"/>
  </sheets>
  <definedNames>
    <definedName function="false" hidden="true" localSheetId="5" name="_xlnm._FilterDatabase" vbProcedure="false">'🎧 Audios'!$A$1:$J$72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<sst xmlns="http://schemas.openxmlformats.org/spreadsheetml/2006/main" count="846" uniqueCount="353">
  <si>
    <t xml:space="preserve">Corso A1 — Italiano Iniziale · Parte 2  (Unidades 5 a 8)</t>
  </si>
  <si>
    <t xml:space="preserve">Plan de producción. Misma estructura que la Parte 1 aprobada.</t>
  </si>
  <si>
    <t xml:space="preserve">Punto de partida</t>
  </si>
  <si>
    <t xml:space="preserve">Las cuatro unidades están COMPLETAS y generadas: 4 secciones cada una (16 páginas), en «PARTE 2 borrador/UD 5..8» del repo. Todavía NO publicadas en Odoo.</t>
  </si>
  <si>
    <t xml:space="preserve">Se generan con: python gen_unit.py 5 6 7 8   (requiere ODOO_KEY y ELEVEN_KEY). Con --local &lt;dir&gt; se escriben a disco sin tocar Odoo ni generar audio.</t>
  </si>
  <si>
    <t xml:space="preserve">Las hojas</t>
  </si>
  <si>
    <t xml:space="preserve">   •  🗺️ Roadmap — las 4 unidades con su temario (según la planilla "Nivel A1" de Carolina) y su estado.</t>
  </si>
  <si>
    <t xml:space="preserve">   •  ✅ Contrato de estructura — QUÉ tiene que tener una unidad para estar completa, y qué le falta hoy a cada una. Es la hoja de aceptación: la unidad se publica cuando no queda ningún FALTA.</t>
  </si>
  <si>
    <t xml:space="preserve">   •  🔧 Correcciones heredadas — lo que Carolina ya pidió para U5 y U6 en abril, más las reglas que en la Parte 1 costaron varias rondas. Se aplican de entrada, no al final.</t>
  </si>
  <si>
    <t xml:space="preserve">   •  ❓ Decisiones Carolina — 4 cosas que hay que definir ANTES de producir, para no trabajar sobre supuestos.</t>
  </si>
  <si>
    <t xml:space="preserve">   •  🎧 Audios — el contenido item por item. U5 viene con el borrador ya redactado; U6-U8 traen el esqueleto de bloques.</t>
  </si>
  <si>
    <t xml:space="preserve">Cómo se corrige (sin tocar HTML)</t>
  </si>
  <si>
    <t xml:space="preserve">   1.  El contenido vive en esta planilla. Para cambiar algo (un texto, una voz, un video), se edita la CELDA.</t>
  </si>
  <si>
    <t xml:space="preserve">   2.  Nosotros regeneramos: audio + pantalla se rehacen solos y se actualizan en Odoo. Nunca se edita HTML a mano.</t>
  </si>
  <si>
    <t xml:space="preserve">   3.  Cada unidad sale primero como BORRADOR (no visible) para revisión; recién cuando está OK, se publica.</t>
  </si>
  <si>
    <t xml:space="preserve">Colores</t>
  </si>
  <si>
    <t xml:space="preserve">   •  Amarillo = celda para completar / decisión pendiente.   •  Verde = ya cumple.   •  Rosa = falta, bloquea la publicación.</t>
  </si>
  <si>
    <t xml:space="preserve">Las unidades 1 a 4 están congeladas. Nada de esta planilla las modifica.</t>
  </si>
  <si>
    <t xml:space="preserve">N°</t>
  </si>
  <si>
    <t xml:space="preserve">Título (Input)</t>
  </si>
  <si>
    <t xml:space="preserve">Estado</t>
  </si>
  <si>
    <t xml:space="preserve">% estructura</t>
  </si>
  <si>
    <t xml:space="preserve">Video (YouTube)</t>
  </si>
  <si>
    <t xml:space="preserve">Vocabolario</t>
  </si>
  <si>
    <t xml:space="preserve">Grammatica</t>
  </si>
  <si>
    <t xml:space="preserve">Comunicazione</t>
  </si>
  <si>
    <t xml:space="preserve">Fonetica</t>
  </si>
  <si>
    <t xml:space="preserve">Genially (a verificar)</t>
  </si>
  <si>
    <t xml:space="preserve">Notas</t>
  </si>
  <si>
    <t xml:space="preserve">Che lavoro fai?</t>
  </si>
  <si>
    <t xml:space="preserve">Completa · sin publicar</t>
  </si>
  <si>
    <t xml:space="preserve">https://youtu.be/VsEBjpQTlyY</t>
  </si>
  <si>
    <t xml:space="preserve">Professioni, mestieri, colori</t>
  </si>
  <si>
    <t xml:space="preserve">Articoli determinativi (singolare e plurale), concordanza articolo-nome-aggettivo, verbo fare</t>
  </si>
  <si>
    <t xml:space="preserve">Chiedere e dire il lavoro</t>
  </si>
  <si>
    <t xml:space="preserve">I suoni sk e ʃ</t>
  </si>
  <si>
    <t xml:space="preserve">unita-7 (viejo N°)</t>
  </si>
  <si>
    <t xml:space="preserve">4 secciones generadas. Faltan 3 audios: azzurro, celeste, lo scontrino.</t>
  </si>
  <si>
    <t xml:space="preserve">Al bar</t>
  </si>
  <si>
    <t xml:space="preserve">https://youtu.be/2_VwcAlQUyU</t>
  </si>
  <si>
    <t xml:space="preserve">Cibi e bevande, tipi di acqua, tipi di caffè, vocabolario del bar (cassa, banco, scontrino, conto)</t>
  </si>
  <si>
    <t xml:space="preserve">Verbi modali (dovere, potere, volere), preposizioni di luogo (da, a, in)</t>
  </si>
  <si>
    <t xml:space="preserve">Salutare formale/informale, richiamare l'attenzione, chiedere il prezzo, ordinare al bar</t>
  </si>
  <si>
    <t xml:space="preserve">Le doppie</t>
  </si>
  <si>
    <t xml:space="preserve">unita-9 (viejo N°)</t>
  </si>
  <si>
    <t xml:space="preserve">4 secciones generadas. 0 audios faltantes: lista para publicar. Ver Decisión 2 (artículos).</t>
  </si>
  <si>
    <t xml:space="preserve">La mia giornata</t>
  </si>
  <si>
    <t xml:space="preserve">https://youtu.be/s9mLSd76cmw</t>
  </si>
  <si>
    <t xml:space="preserve">Azioni quotidiane, avverbi di frequenza, parti della giornata</t>
  </si>
  <si>
    <t xml:space="preserve">Verbi riflessivi, Anche/Neanche, articoli con i giorni, aggettivi possessivi</t>
  </si>
  <si>
    <t xml:space="preserve">Dire a che ora e in che momento della giornata si fa una cosa</t>
  </si>
  <si>
    <t xml:space="preserve">ʎ (gli) / ɲ (gn) — hecha</t>
  </si>
  <si>
    <t xml:space="preserve">unita-10 (viejo N°)</t>
  </si>
  <si>
    <t xml:space="preserve">4 secciones generadas. Fonética nueva: gli / gn. Faltan 2 audios de los ejemplos.</t>
  </si>
  <si>
    <t xml:space="preserve">In famiglia</t>
  </si>
  <si>
    <t xml:space="preserve">https://youtu.be/mvl1hKoWWdM</t>
  </si>
  <si>
    <t xml:space="preserve">Nomi di parentela, oggetti personali</t>
  </si>
  <si>
    <t xml:space="preserve">Possessivi con nomi di parentela, C'è/Ci sono, numeri oltre 1000</t>
  </si>
  <si>
    <t xml:space="preserve">Parlare della famiglia, esprimere accordo/disaccordo, fare proposte</t>
  </si>
  <si>
    <t xml:space="preserve">L'intonazione — hecha</t>
  </si>
  <si>
    <t xml:space="preserve">unita-11 (viejo N°)</t>
  </si>
  <si>
    <t xml:space="preserve">4 secciones generadas. Fonética nueva: intonazione. Faltan 2 audios de los ejemplos.</t>
  </si>
  <si>
    <t xml:space="preserve">Sección</t>
  </si>
  <si>
    <t xml:space="preserve">Componente obligatorio</t>
  </si>
  <si>
    <t xml:space="preserve">Referencia (Parte 1)</t>
  </si>
  <si>
    <t xml:space="preserve">U5</t>
  </si>
  <si>
    <t xml:space="preserve">U6</t>
  </si>
  <si>
    <t xml:space="preserve">U7</t>
  </si>
  <si>
    <t xml:space="preserve">U8</t>
  </si>
  <si>
    <t xml:space="preserve">Qué hay que hacer</t>
  </si>
  <si>
    <t xml:space="preserve">1 Exploración</t>
  </si>
  <si>
    <t xml:space="preserve">Video input embebido</t>
  </si>
  <si>
    <t xml:space="preserve">Sí</t>
  </si>
  <si>
    <t xml:space="preserve">OK</t>
  </si>
  <si>
    <t xml:space="preserve">Revalidar que el link siga vivo y sea el definitivo (Decisión 5).</t>
  </si>
  <si>
    <t xml:space="preserve">Vero o Falso (5 ítems)</t>
  </si>
  <si>
    <t xml:space="preserve">Sí (5 ítems)</t>
  </si>
  <si>
    <t xml:space="preserve">RESUELTO. El contenido ya existía en units_content.json (expl_ex) pero el generador nunca lo renderizaba. Ahora sí.</t>
  </si>
  <si>
    <t xml:space="preserve">Preguntas de comprensión (4, MC)</t>
  </si>
  <si>
    <t xml:space="preserve">Sí (4 preguntas)</t>
  </si>
  <si>
    <t xml:space="preserve">RESUELTO. 4 actividades por unidad (2 MC + 2 V/F) con feedback y reintento. Antes: 0 inputs, 0 botones.</t>
  </si>
  <si>
    <t xml:space="preserve">2 Descubrimiento</t>
  </si>
  <si>
    <t xml:space="preserve">Frases reales del video (audio)</t>
  </si>
  <si>
    <t xml:space="preserve">Sí (5-10 frases)</t>
  </si>
  <si>
    <t xml:space="preserve">NUEVO. 6-8 frases textuales sacadas del transcript de cada video. Todas con audio ya generado.</t>
  </si>
  <si>
    <t xml:space="preserve">Vocabulario (15-16 ítems + audio)</t>
  </si>
  <si>
    <t xml:space="preserve">Sí (15-16 ítems)</t>
  </si>
  <si>
    <t xml:space="preserve">Ya estaba. En U5 se reescribió "I colori" con blu / azzurro / celeste diferenciados.</t>
  </si>
  <si>
    <t xml:space="preserve">Tema inductivo 1 (+ ejercicio)</t>
  </si>
  <si>
    <t xml:space="preserve">NUEVO. El alumno deduce la regla desde los ejemplos del video; la regla queda TAPADA hasta que resuelve.</t>
  </si>
  <si>
    <t xml:space="preserve">Tema inductivo 2 (+ ejercicio)</t>
  </si>
  <si>
    <t xml:space="preserve">NUEVO. Mismo mecanismo.</t>
  </si>
  <si>
    <t xml:space="preserve">Tema inductivo 3 (+ ejercicio)</t>
  </si>
  <si>
    <t xml:space="preserve">Sí (U4)</t>
  </si>
  <si>
    <t xml:space="preserve">N/A</t>
  </si>
  <si>
    <t xml:space="preserve">DECISIÓN: 2 por unidad. El tercer tema de gramática de cada unidad es expositivo (concordancia, preposiciones, números): no se puede inducir. Confirmar con Carolina.</t>
  </si>
  <si>
    <t xml:space="preserve">Diálogo extra (audio antes que texto)</t>
  </si>
  <si>
    <t xml:space="preserve">Ya estaba.</t>
  </si>
  <si>
    <t xml:space="preserve">Reproducir diálogo completo</t>
  </si>
  <si>
    <t xml:space="preserve">Ya estaba, además de línea por línea.</t>
  </si>
  <si>
    <t xml:space="preserve">Ejercicio inductivo (6-7 ítems)</t>
  </si>
  <si>
    <t xml:space="preserve">Sí (6-7 ítems)</t>
  </si>
  <si>
    <t xml:space="preserve">RESUELTO. Ahora los ejercicios cuelgan del bloque que los origina, no sueltos al final.</t>
  </si>
  <si>
    <t xml:space="preserve">Fonética: contenido</t>
  </si>
  <si>
    <t xml:space="preserve">U7 nueva: ʎ (gli) / ɲ (gn). U8 nueva: intonazione (pregunta / afirmación / exclamación). Ambas salen del vocabulario propio de la unidad.</t>
  </si>
  <si>
    <t xml:space="preserve">Fonética: ejercicio</t>
  </si>
  <si>
    <t xml:space="preserve">Sí (+ ejercicio)</t>
  </si>
  <si>
    <t xml:space="preserve">NUEVO. 4-5 ejercicios de fonética por unidad, con feedback que explica la regla.</t>
  </si>
  <si>
    <t xml:space="preserve">Frases útiles</t>
  </si>
  <si>
    <t xml:space="preserve">NUEVO. 7 por unidad, marcadas como "no aparecen en el video": es el contenido A1 extra que pidió Carolina.</t>
  </si>
  <si>
    <t xml:space="preserve">3 Gramática</t>
  </si>
  <si>
    <t xml:space="preserve">Temas expuestos, 6-7 secciones (A-G)</t>
  </si>
  <si>
    <t xml:space="preserve">6-7 secciones</t>
  </si>
  <si>
    <t xml:space="preserve">PARCIAL</t>
  </si>
  <si>
    <t xml:space="preserve">Siguen siendo 3 temas por unidad (los que asigna el temario "Nivel A1"), pero ahora cada uno cierra con sus ejercicios + set final = 4 secciones.</t>
  </si>
  <si>
    <t xml:space="preserve">Ejercicios DESPUÉS de cada tema</t>
  </si>
  <si>
    <t xml:space="preserve">RESUELTO. 4-6 ejercicios propios por tema. Era el cambio de estructura que pidió tres veces.</t>
  </si>
  <si>
    <t xml:space="preserve">Fonética + ejercicio</t>
  </si>
  <si>
    <t xml:space="preserve">DECISIÓN: la fonética vive en Descubrimiento con su ejercicio, no duplicada en Gramática. Preguntarle si además la quiere acá.</t>
  </si>
  <si>
    <t xml:space="preserve">Set integrador final (~10 pts × 5)</t>
  </si>
  <si>
    <t xml:space="preserve">Sí (10 pts × 5)</t>
  </si>
  <si>
    <t xml:space="preserve">RESUELTO. "Ripasso generale" al final + los ejercicios por tema: 17-22 ejercicios por unidad contra 4-5 antes.</t>
  </si>
  <si>
    <t xml:space="preserve">Botón reintentar en cada ejercicio</t>
  </si>
  <si>
    <t xml:space="preserve">Agregado después</t>
  </si>
  <si>
    <t xml:space="preserve">4 Juegos</t>
  </si>
  <si>
    <t xml:space="preserve">Genially embebido de la unidad</t>
  </si>
  <si>
    <t xml:space="preserve">HTML de la 4ª sección generado y con el iframe puesto. Falta CREAR el slide en Odoo y anotar su id en units_content.json.</t>
  </si>
  <si>
    <t xml:space="preserve">Contenido del juego = el de la unidad</t>
  </si>
  <si>
    <t xml:space="preserve">Mapeado por título con la numeración vieja (U5→unita-7, U6→unita-9, U7→unita-10, U8→unita-11). SIN VERIFICAR abriendo cada Genially: Decisión 1.</t>
  </si>
  <si>
    <t xml:space="preserve">Transversal</t>
  </si>
  <si>
    <t xml:space="preserve">Título idéntico en las 4 secciones</t>
  </si>
  <si>
    <t xml:space="preserve">Botón continuar al final de cada sección</t>
  </si>
  <si>
    <t xml:space="preserve">NUEVO. Botón al final de Exploración, Descubrimiento y Gramática. Busca el enlace de siguiente lección de Odoo: hay que probarlo en el sitio real.</t>
  </si>
  <si>
    <t xml:space="preserve">Voz femenina en todos los audios</t>
  </si>
  <si>
    <t xml:space="preserve">Todo el contenido nuevo se declaró con voz femenina. Los diálogos preexistentes conservan sus dos voces por ser diálogo.</t>
  </si>
  <si>
    <t xml:space="preserve">Cumple (OK)</t>
  </si>
  <si>
    <t xml:space="preserve">Parcial</t>
  </si>
  <si>
    <t xml:space="preserve">Falta</t>
  </si>
  <si>
    <t xml:space="preserve">% estructura completa</t>
  </si>
  <si>
    <t xml:space="preserve">Estado medido sobre el snapshot 2026-07-28-antes-de-quitar-U5-U8 (auditoría automática del HTML publicado) + la planilla "Comparativa_Estructura_Unidades" de Carolina (8/7). La referencia de la columna C es UD 4, la última unidad aprobada.</t>
  </si>
  <si>
    <t xml:space="preserve">Unidad</t>
  </si>
  <si>
    <t xml:space="preserve">Bloque</t>
  </si>
  <si>
    <t xml:space="preserve">Qué está mal</t>
  </si>
  <si>
    <t xml:space="preserve">Corrección pedida</t>
  </si>
  <si>
    <t xml:space="preserve">Origen</t>
  </si>
  <si>
    <t xml:space="preserve">Descubrimiento</t>
  </si>
  <si>
    <t xml:space="preserve">Audios</t>
  </si>
  <si>
    <t xml:space="preserve">l'infermiera no suena con la L inicial</t>
  </si>
  <si>
    <t xml:space="preserve">Regenerar el audio con la elisión pronunciada</t>
  </si>
  <si>
    <t xml:space="preserve">Feedback abril</t>
  </si>
  <si>
    <t xml:space="preserve">Pendiente</t>
  </si>
  <si>
    <t xml:space="preserve">I colori</t>
  </si>
  <si>
    <t xml:space="preserve">Traducciones de los azules mal asignadas</t>
  </si>
  <si>
    <t xml:space="preserve">blu = azul marino (oscuro) · azzurro = azul francia (brillante) · celeste = celeste</t>
  </si>
  <si>
    <t xml:space="preserve">HECHO</t>
  </si>
  <si>
    <t xml:space="preserve">El recuadro "professioni" tiene ejemplos que no son profesiones</t>
  </si>
  <si>
    <t xml:space="preserve">Reemplazar por profesiones reales</t>
  </si>
  <si>
    <t xml:space="preserve">"lavorisco" no existe en italiano</t>
  </si>
  <si>
    <t xml:space="preserve">Eliminar y poner una forma real (finisco, capisco…)</t>
  </si>
  <si>
    <t xml:space="preserve">¿Qué profesión es?</t>
  </si>
  <si>
    <t xml:space="preserve">l'insegnante y l'avvocato renderizan con una / de más</t>
  </si>
  <si>
    <t xml:space="preserve">Corregir el escapado del apóstrofo: l'insegnante, l'avvocato</t>
  </si>
  <si>
    <t xml:space="preserve">Gramática</t>
  </si>
  <si>
    <t xml:space="preserve">Esercizi</t>
  </si>
  <si>
    <t xml:space="preserve">Aclaraciones entre paréntesis visibles en el enunciado</t>
  </si>
  <si>
    <t xml:space="preserve">Quitarlas del enunciado; mostrarlas solo como feedback al corregir</t>
  </si>
  <si>
    <t xml:space="preserve">Concordanza art-nome-agg</t>
  </si>
  <si>
    <t xml:space="preserve">Hay frases sin audio</t>
  </si>
  <si>
    <t xml:space="preserve">Generar el audio faltante</t>
  </si>
  <si>
    <t xml:space="preserve">"arancata" está mal escrito</t>
  </si>
  <si>
    <t xml:space="preserve">Corregir a "aranciata"</t>
  </si>
  <si>
    <t xml:space="preserve">Fonetica / Le doppie</t>
  </si>
  <si>
    <t xml:space="preserve">Los bloques no cargan</t>
  </si>
  <si>
    <t xml:space="preserve">Revisar el render; deben cargar sin refresh</t>
  </si>
  <si>
    <t xml:space="preserve">Aparece una barra antes del apóstrofo: un/'acqua</t>
  </si>
  <si>
    <t xml:space="preserve">Corregir a un'acqua (mismo bug de escapado que U5)</t>
  </si>
  <si>
    <t xml:space="preserve">U5-U8</t>
  </si>
  <si>
    <t xml:space="preserve">Todas</t>
  </si>
  <si>
    <t xml:space="preserve">Ejercicios</t>
  </si>
  <si>
    <t xml:space="preserve">Si hay error no deja rehacer</t>
  </si>
  <si>
    <t xml:space="preserve">Botón reintentar en todos los ejercicios (ya presente, verificar que funcione)</t>
  </si>
  <si>
    <t xml:space="preserve">Verificar</t>
  </si>
  <si>
    <t xml:space="preserve">Navegación</t>
  </si>
  <si>
    <t xml:space="preserve">No hay botón para pasar de sección a sección</t>
  </si>
  <si>
    <t xml:space="preserve">Botón continuar al final de cada una de las 4 secciones</t>
  </si>
  <si>
    <t xml:space="preserve">Lección Parte 1</t>
  </si>
  <si>
    <t xml:space="preserve">Voces masculinas y TTS robótico en diálogos</t>
  </si>
  <si>
    <t xml:space="preserve">Voz femenina en todo. Para diálogos usar los audios de libro de "AUDIOS PARA A1", no TTS</t>
  </si>
  <si>
    <t xml:space="preserve">Pistas y notas</t>
  </si>
  <si>
    <t xml:space="preserve">Pistas entre paréntesis y notas visibles antes de resolver</t>
  </si>
  <si>
    <t xml:space="preserve">Solo como feedback posterior. Nunca en el enunciado</t>
  </si>
  <si>
    <t xml:space="preserve">Juegos</t>
  </si>
  <si>
    <t xml:space="preserve">Nombre de la sección</t>
  </si>
  <si>
    <t xml:space="preserve">En la Parte 1 decía "Ejercicios"</t>
  </si>
  <si>
    <t xml:space="preserve">Debe decir "JUEGOS"</t>
  </si>
  <si>
    <t xml:space="preserve">Fonética</t>
  </si>
  <si>
    <t xml:space="preserve">Terminología "suave / fuerte"</t>
  </si>
  <si>
    <t xml:space="preserve">Usar solo los símbolos fonéticos: [k] [g] [tʃ] [dʒ]</t>
  </si>
  <si>
    <t xml:space="preserve">Contenido</t>
  </si>
  <si>
    <t xml:space="preserve">La Parte 1 usaba exclusivamente material del video input</t>
  </si>
  <si>
    <t xml:space="preserve">Integrar el input, pero agregar contenido A1 que no esté en el video</t>
  </si>
  <si>
    <t xml:space="preserve">#</t>
  </si>
  <si>
    <t xml:space="preserve">Tema</t>
  </si>
  <si>
    <t xml:space="preserve">Situación</t>
  </si>
  <si>
    <t xml:space="preserve">Propuesta nuestra</t>
  </si>
  <si>
    <t xml:space="preserve">Si no se decide…</t>
  </si>
  <si>
    <t xml:space="preserve">Respuesta de Carolina</t>
  </si>
  <si>
    <t xml:space="preserve">Numeración de los Genially</t>
  </si>
  <si>
    <t xml:space="preserve">La planilla "Juegos" numera módulos 0-16 con el temario viejo, donde 5 = Che ore sono?. En el temario actual UD5 = Che lavoro fai?, que en el viejo era la 7.</t>
  </si>
  <si>
    <t xml:space="preserve">Mapear por contenido, no por número: UD5→unita-7, UD6→unita-9, UD7→unita-10, UD8→unita-11. Abrir cada uno y confirmar antes de embeber.</t>
  </si>
  <si>
    <t xml:space="preserve">Se embebe el juego equivocado en cada unidad.</t>
  </si>
  <si>
    <t xml:space="preserve">Artículos repetidos</t>
  </si>
  <si>
    <t xml:space="preserve">UD4 ya cubre determinativi e indeterminativi al singolare (se agregó porque ella lo reclamó). El temario se los vuelve a asignar a UD5 (det. sing+plur) y UD6 (indet. sing).</t>
  </si>
  <si>
    <t xml:space="preserve">UD5 mantiene determinativi singolare + plurale (es progresión real). UD6 saca "articoli indeterminativi al singolare" por redundante.</t>
  </si>
  <si>
    <t xml:space="preserve">Se repite en tres unidades seguidas un tema ya visto.</t>
  </si>
  <si>
    <t xml:space="preserve">Fonética de UD7 y UD8</t>
  </si>
  <si>
    <t xml:space="preserve">UD7 y UD8 no tienen fonética asignada en la planilla "Nivel A1". La versión vieja del temario asignaba ʎ/ɲ a "La mia giornata".</t>
  </si>
  <si>
    <t xml:space="preserve">UD7: I suoni ʎ (gli) e ɲ (gn). UD8: a definir por Carolina. En ambos casos tomar los audios de "Fonetica pratica della lingua italiana".</t>
  </si>
  <si>
    <t xml:space="preserve">Dos unidades quedan sin fonética, rompiendo el contrato de estructura.</t>
  </si>
  <si>
    <t xml:space="preserve">Audios de diálogo</t>
  </si>
  <si>
    <t xml:space="preserve">Ella propuso en abril reemplazar el TTS de los diálogos por audios de libro y subió la carpeta "AUDIOS PARA A1". La propuesta nunca se cerró.</t>
  </si>
  <si>
    <t xml:space="preserve">Que indique qué audio de esa carpeta corresponde a cada unidad. El TTS se conserva solo para palabras sueltas, donde sí le funcionó.</t>
  </si>
  <si>
    <t xml:space="preserve">Se repite el reclamo de "diálogo robótico" que ya apareció en 3 rondas.</t>
  </si>
  <si>
    <t xml:space="preserve">Inputs de YouTube</t>
  </si>
  <si>
    <t xml:space="preserve">Los 4 links salen de "Nivel A1". El de UD3 tenía la nota "este re-subirlo", así que los links no son todos definitivos.</t>
  </si>
  <si>
    <t xml:space="preserve">Que confirme los 4 links como definitivos antes de que se generen ejercicios sobre ellos.</t>
  </si>
  <si>
    <t xml:space="preserve">Si cambia el video, hay que rehacer Exploración y Descubrimiento completos.</t>
  </si>
  <si>
    <t xml:space="preserve">Tipo</t>
  </si>
  <si>
    <t xml:space="preserve">Texto en italiano (FINAL)</t>
  </si>
  <si>
    <t xml:space="preserve">Traducción (español)</t>
  </si>
  <si>
    <t xml:space="preserve">Voz</t>
  </si>
  <si>
    <t xml:space="preserve">Personaje</t>
  </si>
  <si>
    <t xml:space="preserve">Orden</t>
  </si>
  <si>
    <t xml:space="preserve">▼  UNIDAD 5 — Che lavoro fai?   ·   borrador ya redactado (36 filas), revisar y completar</t>
  </si>
  <si>
    <t xml:space="preserve">Professioni</t>
  </si>
  <si>
    <t xml:space="preserve">Palabra</t>
  </si>
  <si>
    <t xml:space="preserve">medico</t>
  </si>
  <si>
    <t xml:space="preserve">médico</t>
  </si>
  <si>
    <t xml:space="preserve">Mujer</t>
  </si>
  <si>
    <t xml:space="preserve">insegnante</t>
  </si>
  <si>
    <t xml:space="preserve">docente / profesor/a</t>
  </si>
  <si>
    <t xml:space="preserve">avvocato</t>
  </si>
  <si>
    <t xml:space="preserve">abogado/a</t>
  </si>
  <si>
    <t xml:space="preserve">ingegnere</t>
  </si>
  <si>
    <t xml:space="preserve">ingeniero/a</t>
  </si>
  <si>
    <t xml:space="preserve">cuoco</t>
  </si>
  <si>
    <t xml:space="preserve">cocinero</t>
  </si>
  <si>
    <t xml:space="preserve">cameriere</t>
  </si>
  <si>
    <t xml:space="preserve">camarero / mozo</t>
  </si>
  <si>
    <t xml:space="preserve">commesso</t>
  </si>
  <si>
    <t xml:space="preserve">vendedor</t>
  </si>
  <si>
    <t xml:space="preserve">operaio</t>
  </si>
  <si>
    <t xml:space="preserve">obrero</t>
  </si>
  <si>
    <t xml:space="preserve">studente</t>
  </si>
  <si>
    <t xml:space="preserve">estudiante</t>
  </si>
  <si>
    <t xml:space="preserve">infermiere</t>
  </si>
  <si>
    <t xml:space="preserve">enfermero</t>
  </si>
  <si>
    <t xml:space="preserve">Colori</t>
  </si>
  <si>
    <t xml:space="preserve">rosso</t>
  </si>
  <si>
    <t xml:space="preserve">rojo</t>
  </si>
  <si>
    <t xml:space="preserve">blu</t>
  </si>
  <si>
    <t xml:space="preserve">azul</t>
  </si>
  <si>
    <t xml:space="preserve">verde</t>
  </si>
  <si>
    <t xml:space="preserve">giallo</t>
  </si>
  <si>
    <t xml:space="preserve">amarillo</t>
  </si>
  <si>
    <t xml:space="preserve">nero</t>
  </si>
  <si>
    <t xml:space="preserve">negro</t>
  </si>
  <si>
    <t xml:space="preserve">bianco</t>
  </si>
  <si>
    <t xml:space="preserve">blanco</t>
  </si>
  <si>
    <t xml:space="preserve">arancione</t>
  </si>
  <si>
    <t xml:space="preserve">naranja</t>
  </si>
  <si>
    <t xml:space="preserve">grigio</t>
  </si>
  <si>
    <t xml:space="preserve">gris</t>
  </si>
  <si>
    <t xml:space="preserve">Frase</t>
  </si>
  <si>
    <t xml:space="preserve">¿En qué trabajás?</t>
  </si>
  <si>
    <t xml:space="preserve">Sono medico.</t>
  </si>
  <si>
    <t xml:space="preserve">Soy médico.</t>
  </si>
  <si>
    <t xml:space="preserve">Hombre</t>
  </si>
  <si>
    <t xml:space="preserve">Faccio l'avvocato.</t>
  </si>
  <si>
    <t xml:space="preserve">Soy abogado.</t>
  </si>
  <si>
    <t xml:space="preserve">Dove lavori?</t>
  </si>
  <si>
    <t xml:space="preserve">¿Dónde trabajás?</t>
  </si>
  <si>
    <t xml:space="preserve">Lavoro in un ufficio.</t>
  </si>
  <si>
    <t xml:space="preserve">Trabajo en una oficina.</t>
  </si>
  <si>
    <t xml:space="preserve">Diálogo — Che lavoro fai?</t>
  </si>
  <si>
    <t xml:space="preserve">Diálogo</t>
  </si>
  <si>
    <t xml:space="preserve">Ciao! Che lavoro fai?</t>
  </si>
  <si>
    <t xml:space="preserve">¡Hola! ¿En qué trabajás?</t>
  </si>
  <si>
    <t xml:space="preserve">Anna</t>
  </si>
  <si>
    <t xml:space="preserve">1</t>
  </si>
  <si>
    <t xml:space="preserve">Faccio il cuoco. E tu?</t>
  </si>
  <si>
    <t xml:space="preserve">Soy cocinero. ¿Y vos?</t>
  </si>
  <si>
    <t xml:space="preserve">Marco</t>
  </si>
  <si>
    <t xml:space="preserve">2</t>
  </si>
  <si>
    <t xml:space="preserve">Io sono insegnante di italiano.</t>
  </si>
  <si>
    <t xml:space="preserve">Yo soy profesora de italiano.</t>
  </si>
  <si>
    <t xml:space="preserve">3</t>
  </si>
  <si>
    <t xml:space="preserve">Che bello! Mi piace molto.</t>
  </si>
  <si>
    <t xml:space="preserve">¡Qué lindo! Me gusta mucho.</t>
  </si>
  <si>
    <t xml:space="preserve">4</t>
  </si>
  <si>
    <t xml:space="preserve">Verbo fare</t>
  </si>
  <si>
    <t xml:space="preserve">Io faccio l'insegnante.</t>
  </si>
  <si>
    <t xml:space="preserve">Yo soy (trabajo de) profesora.</t>
  </si>
  <si>
    <t xml:space="preserve">Tu che lavoro fai?</t>
  </si>
  <si>
    <t xml:space="preserve">¿Vos qué trabajo hacés?</t>
  </si>
  <si>
    <t xml:space="preserve">Lei fa il medico.</t>
  </si>
  <si>
    <t xml:space="preserve">Ella es médica.</t>
  </si>
  <si>
    <t xml:space="preserve">Articoli e concordanza</t>
  </si>
  <si>
    <t xml:space="preserve">il gatto nero</t>
  </si>
  <si>
    <t xml:space="preserve">el gato negro</t>
  </si>
  <si>
    <t xml:space="preserve">la casa bianca</t>
  </si>
  <si>
    <t xml:space="preserve">la casa blanca</t>
  </si>
  <si>
    <t xml:space="preserve">i libri rossi</t>
  </si>
  <si>
    <t xml:space="preserve">los libros rojos</t>
  </si>
  <si>
    <t xml:space="preserve">le macchine gialle</t>
  </si>
  <si>
    <t xml:space="preserve">los autos amarillos</t>
  </si>
  <si>
    <t xml:space="preserve">Fonetica sk</t>
  </si>
  <si>
    <t xml:space="preserve">scuola, scala, scarpa</t>
  </si>
  <si>
    <t xml:space="preserve">Sonido [sk]</t>
  </si>
  <si>
    <t xml:space="preserve">Pronunciación</t>
  </si>
  <si>
    <t xml:space="preserve">Fonetica ʃ</t>
  </si>
  <si>
    <t xml:space="preserve">sciare, pesce, uscire</t>
  </si>
  <si>
    <t xml:space="preserve">Sonido [ʃ] (como 'sh')</t>
  </si>
  <si>
    <t xml:space="preserve">▼  UNIDAD 6 — Al bar   ·   esqueleto de bloques, a completar</t>
  </si>
  <si>
    <t xml:space="preserve">Vocabolario — da bere</t>
  </si>
  <si>
    <t xml:space="preserve">Vocabolario — da mangiare</t>
  </si>
  <si>
    <t xml:space="preserve">Vocabolario — il bar</t>
  </si>
  <si>
    <t xml:space="preserve">Frases reales del video</t>
  </si>
  <si>
    <t xml:space="preserve">Diálogo — Ordinare al bar</t>
  </si>
  <si>
    <t xml:space="preserve">Fonetica — le doppie</t>
  </si>
  <si>
    <t xml:space="preserve">verbi modali</t>
  </si>
  <si>
    <t xml:space="preserve">preposizioni da/a/in</t>
  </si>
  <si>
    <t xml:space="preserve">▼  UNIDAD 7 — La mia giornata   ·   esqueleto de bloques, a completar</t>
  </si>
  <si>
    <t xml:space="preserve">Vocabolario — azioni quotidiane</t>
  </si>
  <si>
    <t xml:space="preserve">Vocabolario — parti della giornata</t>
  </si>
  <si>
    <t xml:space="preserve">Vocabolario — avverbi di frequenza</t>
  </si>
  <si>
    <t xml:space="preserve">Diálogo — Raccontare la giornata</t>
  </si>
  <si>
    <t xml:space="preserve">Fonetica — ʎ (gli) / ɲ (gn)</t>
  </si>
  <si>
    <t xml:space="preserve">verbi riflessivi</t>
  </si>
  <si>
    <t xml:space="preserve">possessivi</t>
  </si>
  <si>
    <t xml:space="preserve">Anch'io / Neanch'io</t>
  </si>
  <si>
    <t xml:space="preserve">▼  UNIDAD 8 — In famiglia   ·   esqueleto de bloques, a completar</t>
  </si>
  <si>
    <t xml:space="preserve">Vocabolario — nomi di parentela</t>
  </si>
  <si>
    <t xml:space="preserve">Vocabolario — oggetti personali</t>
  </si>
  <si>
    <t xml:space="preserve">Diálogo — La famiglia si presenta</t>
  </si>
  <si>
    <t xml:space="preserve">Fonetica — a definir</t>
  </si>
  <si>
    <t xml:space="preserve">possessivi con parentela</t>
  </si>
  <si>
    <t xml:space="preserve">c'è / ci sono</t>
  </si>
  <si>
    <t xml:space="preserve">numeri oltre 1000</t>
  </si>
  <si>
    <t xml:space="preserve">EJEMPLO de una fila completa (no borrar, es la referencia de formato):</t>
  </si>
  <si>
    <t xml:space="preserve">un caffè macchiato</t>
  </si>
  <si>
    <t xml:space="preserve">un café cortado</t>
  </si>
  <si>
    <t xml:space="preserve">Audio de libro, no TTS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</si>
</sst>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i val="true"/>
      <sz val="9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CE4E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0" width="118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27.75" hidden="false" customHeight="true" outlineLevel="0" collapsed="false">
      <c r="B6" s="3" t="s">
        <v>3</v>
      </c>
    </row>
    <row r="7" customFormat="false" ht="27.75" hidden="false" customHeight="true" outlineLevel="0" collapsed="false">
      <c r="B7" s="3" t="s">
        <v>4</v>
      </c>
    </row>
    <row r="8" customFormat="false" ht="15" hidden="false" customHeight="false" outlineLevel="0" collapsed="false">
      <c r="B8" s="3"/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3" t="s">
        <v>6</v>
      </c>
    </row>
    <row r="11" customFormat="false" ht="27.75" hidden="false" customHeight="true" outlineLevel="0" collapsed="false">
      <c r="B11" s="3" t="s">
        <v>7</v>
      </c>
    </row>
    <row r="12" customFormat="false" ht="27.75" hidden="false" customHeight="true" outlineLevel="0" collapsed="false">
      <c r="B12" s="3" t="s">
        <v>8</v>
      </c>
    </row>
    <row r="13" customFormat="false" ht="27.75" hidden="false" customHeight="true" outlineLevel="0" collapsed="false">
      <c r="B13" s="3" t="s">
        <v>9</v>
      </c>
    </row>
    <row r="14" customFormat="false" ht="27.75" hidden="false" customHeight="true" outlineLevel="0" collapsed="false">
      <c r="B14" s="3" t="s">
        <v>10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4" t="s">
        <v>11</v>
      </c>
    </row>
    <row r="17" customFormat="false" ht="27.75" hidden="false" customHeight="true" outlineLevel="0" collapsed="false">
      <c r="B17" s="3" t="s">
        <v>12</v>
      </c>
    </row>
    <row r="18" customFormat="false" ht="27.75" hidden="false" customHeight="true" outlineLevel="0" collapsed="false">
      <c r="B18" s="3" t="s">
        <v>13</v>
      </c>
    </row>
    <row r="19" customFormat="false" ht="27.75" hidden="false" customHeight="true" outlineLevel="0" collapsed="false">
      <c r="B19" s="3" t="s">
        <v>14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4" t="s">
        <v>15</v>
      </c>
    </row>
    <row r="22" customFormat="false" ht="27.75" hidden="false" customHeight="true" outlineLevel="0" collapsed="false">
      <c r="B22" s="3" t="s">
        <v>16</v>
      </c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7" min="6" style="0" width="40"/>
    <col collapsed="false" customWidth="true" hidden="false" outlineLevel="0" max="8" min="8" style="0" width="38"/>
    <col collapsed="false" customWidth="true" hidden="false" outlineLevel="0" max="9" min="9" style="0" width="22"/>
    <col collapsed="false" customWidth="true" hidden="false" outlineLevel="0" max="10" min="10" style="0" width="30"/>
    <col collapsed="false" customWidth="true" hidden="false" outlineLevel="0" max="11" min="11" style="0" width="34"/>
  </cols>
  <sheetData>
    <row r="1" customFormat="false" ht="30" hidden="false" customHeight="tru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</row>
    <row r="2" customFormat="false" ht="61.5" hidden="false" customHeight="true" outlineLevel="0" collapsed="false">
      <c r="A2" s="7" t="n">
        <v>5</v>
      </c>
      <c r="B2" s="7" t="s">
        <v>29</v>
      </c>
      <c r="C2" s="8" t="s">
        <v>30</v>
      </c>
      <c r="D2" s="9" t="n">
        <f aca="false">'✅ Contrato de estructura'!D$30</f>
        <v>0.863636363636364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8" t="s">
        <v>36</v>
      </c>
      <c r="K2" s="7" t="s">
        <v>37</v>
      </c>
    </row>
    <row r="3" customFormat="false" ht="61.5" hidden="false" customHeight="true" outlineLevel="0" collapsed="false">
      <c r="A3" s="7" t="n">
        <v>6</v>
      </c>
      <c r="B3" s="7" t="s">
        <v>38</v>
      </c>
      <c r="C3" s="8" t="s">
        <v>30</v>
      </c>
      <c r="D3" s="9" t="n">
        <f aca="false">'✅ Contrato de estructura'!E$30</f>
        <v>0.863636363636364</v>
      </c>
      <c r="E3" s="7" t="s">
        <v>39</v>
      </c>
      <c r="F3" s="7" t="s">
        <v>40</v>
      </c>
      <c r="G3" s="7" t="s">
        <v>41</v>
      </c>
      <c r="H3" s="7" t="s">
        <v>42</v>
      </c>
      <c r="I3" s="7" t="s">
        <v>43</v>
      </c>
      <c r="J3" s="8" t="s">
        <v>44</v>
      </c>
      <c r="K3" s="7" t="s">
        <v>45</v>
      </c>
    </row>
    <row r="4" customFormat="false" ht="61.5" hidden="false" customHeight="true" outlineLevel="0" collapsed="false">
      <c r="A4" s="7" t="n">
        <v>7</v>
      </c>
      <c r="B4" s="7" t="s">
        <v>46</v>
      </c>
      <c r="C4" s="8" t="s">
        <v>30</v>
      </c>
      <c r="D4" s="9" t="n">
        <f aca="false">'✅ Contrato de estructura'!F$30</f>
        <v>0.863636363636364</v>
      </c>
      <c r="E4" s="7" t="s">
        <v>47</v>
      </c>
      <c r="F4" s="7" t="s">
        <v>48</v>
      </c>
      <c r="G4" s="7" t="s">
        <v>49</v>
      </c>
      <c r="H4" s="7" t="s">
        <v>50</v>
      </c>
      <c r="I4" s="7" t="s">
        <v>51</v>
      </c>
      <c r="J4" s="8" t="s">
        <v>52</v>
      </c>
      <c r="K4" s="7" t="s">
        <v>53</v>
      </c>
    </row>
    <row r="5" customFormat="false" ht="61.5" hidden="false" customHeight="true" outlineLevel="0" collapsed="false">
      <c r="A5" s="7" t="n">
        <v>8</v>
      </c>
      <c r="B5" s="7" t="s">
        <v>54</v>
      </c>
      <c r="C5" s="8" t="s">
        <v>30</v>
      </c>
      <c r="D5" s="9" t="n">
        <f aca="false">'✅ Contrato de estructura'!G$30</f>
        <v>0.863636363636364</v>
      </c>
      <c r="E5" s="7" t="s">
        <v>55</v>
      </c>
      <c r="F5" s="7" t="s">
        <v>56</v>
      </c>
      <c r="G5" s="7" t="s">
        <v>57</v>
      </c>
      <c r="H5" s="7" t="s">
        <v>58</v>
      </c>
      <c r="I5" s="7" t="s">
        <v>59</v>
      </c>
      <c r="J5" s="8" t="s">
        <v>60</v>
      </c>
      <c r="K5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7" min="4" style="0" width="9"/>
    <col collapsed="false" customWidth="true" hidden="false" outlineLevel="0" max="8" min="8" style="0" width="58"/>
  </cols>
  <sheetData>
    <row r="1" customFormat="false" ht="30" hidden="false" customHeight="true" outlineLevel="0" collapsed="false">
      <c r="A1" s="6" t="s">
        <v>62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69</v>
      </c>
    </row>
    <row r="2" customFormat="false" ht="31.5" hidden="false" customHeight="true" outlineLevel="0" collapsed="false">
      <c r="A2" s="7" t="s">
        <v>70</v>
      </c>
      <c r="B2" s="7" t="s">
        <v>71</v>
      </c>
      <c r="C2" s="7" t="s">
        <v>72</v>
      </c>
      <c r="D2" s="10" t="s">
        <v>73</v>
      </c>
      <c r="E2" s="10" t="s">
        <v>73</v>
      </c>
      <c r="F2" s="10" t="s">
        <v>73</v>
      </c>
      <c r="G2" s="10" t="s">
        <v>73</v>
      </c>
      <c r="H2" s="7" t="s">
        <v>74</v>
      </c>
    </row>
    <row r="3" customFormat="false" ht="31.5" hidden="false" customHeight="true" outlineLevel="0" collapsed="false">
      <c r="A3" s="7" t="s">
        <v>70</v>
      </c>
      <c r="B3" s="7" t="s">
        <v>75</v>
      </c>
      <c r="C3" s="7" t="s">
        <v>76</v>
      </c>
      <c r="D3" s="10" t="s">
        <v>73</v>
      </c>
      <c r="E3" s="10" t="s">
        <v>73</v>
      </c>
      <c r="F3" s="10" t="s">
        <v>73</v>
      </c>
      <c r="G3" s="10" t="s">
        <v>73</v>
      </c>
      <c r="H3" s="7" t="s">
        <v>77</v>
      </c>
    </row>
    <row r="4" customFormat="false" ht="31.5" hidden="false" customHeight="true" outlineLevel="0" collapsed="false">
      <c r="A4" s="7" t="s">
        <v>70</v>
      </c>
      <c r="B4" s="7" t="s">
        <v>78</v>
      </c>
      <c r="C4" s="7" t="s">
        <v>79</v>
      </c>
      <c r="D4" s="10" t="s">
        <v>73</v>
      </c>
      <c r="E4" s="10" t="s">
        <v>73</v>
      </c>
      <c r="F4" s="10" t="s">
        <v>73</v>
      </c>
      <c r="G4" s="10" t="s">
        <v>73</v>
      </c>
      <c r="H4" s="7" t="s">
        <v>80</v>
      </c>
    </row>
    <row r="5" customFormat="false" ht="31.5" hidden="false" customHeight="true" outlineLevel="0" collapsed="false">
      <c r="A5" s="7" t="s">
        <v>81</v>
      </c>
      <c r="B5" s="7" t="s">
        <v>82</v>
      </c>
      <c r="C5" s="7" t="s">
        <v>83</v>
      </c>
      <c r="D5" s="10" t="s">
        <v>73</v>
      </c>
      <c r="E5" s="10" t="s">
        <v>73</v>
      </c>
      <c r="F5" s="10" t="s">
        <v>73</v>
      </c>
      <c r="G5" s="10" t="s">
        <v>73</v>
      </c>
      <c r="H5" s="7" t="s">
        <v>84</v>
      </c>
    </row>
    <row r="6" customFormat="false" ht="31.5" hidden="false" customHeight="true" outlineLevel="0" collapsed="false">
      <c r="A6" s="7" t="s">
        <v>81</v>
      </c>
      <c r="B6" s="7" t="s">
        <v>85</v>
      </c>
      <c r="C6" s="7" t="s">
        <v>86</v>
      </c>
      <c r="D6" s="10" t="s">
        <v>73</v>
      </c>
      <c r="E6" s="10" t="s">
        <v>73</v>
      </c>
      <c r="F6" s="10" t="s">
        <v>73</v>
      </c>
      <c r="G6" s="10" t="s">
        <v>73</v>
      </c>
      <c r="H6" s="7" t="s">
        <v>87</v>
      </c>
    </row>
    <row r="7" customFormat="false" ht="31.5" hidden="false" customHeight="true" outlineLevel="0" collapsed="false">
      <c r="A7" s="7" t="s">
        <v>81</v>
      </c>
      <c r="B7" s="7" t="s">
        <v>88</v>
      </c>
      <c r="C7" s="7" t="s">
        <v>72</v>
      </c>
      <c r="D7" s="10" t="s">
        <v>73</v>
      </c>
      <c r="E7" s="10" t="s">
        <v>73</v>
      </c>
      <c r="F7" s="10" t="s">
        <v>73</v>
      </c>
      <c r="G7" s="10" t="s">
        <v>73</v>
      </c>
      <c r="H7" s="7" t="s">
        <v>89</v>
      </c>
    </row>
    <row r="8" customFormat="false" ht="31.5" hidden="false" customHeight="true" outlineLevel="0" collapsed="false">
      <c r="A8" s="7" t="s">
        <v>81</v>
      </c>
      <c r="B8" s="7" t="s">
        <v>90</v>
      </c>
      <c r="C8" s="7" t="s">
        <v>72</v>
      </c>
      <c r="D8" s="10" t="s">
        <v>73</v>
      </c>
      <c r="E8" s="10" t="s">
        <v>73</v>
      </c>
      <c r="F8" s="10" t="s">
        <v>73</v>
      </c>
      <c r="G8" s="10" t="s">
        <v>73</v>
      </c>
      <c r="H8" s="7" t="s">
        <v>91</v>
      </c>
    </row>
    <row r="9" customFormat="false" ht="31.5" hidden="false" customHeight="true" outlineLevel="0" collapsed="false">
      <c r="A9" s="7" t="s">
        <v>81</v>
      </c>
      <c r="B9" s="7" t="s">
        <v>92</v>
      </c>
      <c r="C9" s="7" t="s">
        <v>93</v>
      </c>
      <c r="D9" s="11" t="s">
        <v>94</v>
      </c>
      <c r="E9" s="11" t="s">
        <v>94</v>
      </c>
      <c r="F9" s="11" t="s">
        <v>94</v>
      </c>
      <c r="G9" s="11" t="s">
        <v>94</v>
      </c>
      <c r="H9" s="7" t="s">
        <v>95</v>
      </c>
    </row>
    <row r="10" customFormat="false" ht="31.5" hidden="false" customHeight="true" outlineLevel="0" collapsed="false">
      <c r="A10" s="7" t="s">
        <v>81</v>
      </c>
      <c r="B10" s="7" t="s">
        <v>96</v>
      </c>
      <c r="C10" s="7" t="s">
        <v>72</v>
      </c>
      <c r="D10" s="10" t="s">
        <v>73</v>
      </c>
      <c r="E10" s="10" t="s">
        <v>73</v>
      </c>
      <c r="F10" s="10" t="s">
        <v>73</v>
      </c>
      <c r="G10" s="10" t="s">
        <v>73</v>
      </c>
      <c r="H10" s="7" t="s">
        <v>97</v>
      </c>
    </row>
    <row r="11" customFormat="false" ht="31.5" hidden="false" customHeight="true" outlineLevel="0" collapsed="false">
      <c r="A11" s="7" t="s">
        <v>81</v>
      </c>
      <c r="B11" s="7" t="s">
        <v>98</v>
      </c>
      <c r="C11" s="7" t="s">
        <v>72</v>
      </c>
      <c r="D11" s="10" t="s">
        <v>73</v>
      </c>
      <c r="E11" s="10" t="s">
        <v>73</v>
      </c>
      <c r="F11" s="10" t="s">
        <v>73</v>
      </c>
      <c r="G11" s="10" t="s">
        <v>73</v>
      </c>
      <c r="H11" s="7" t="s">
        <v>99</v>
      </c>
    </row>
    <row r="12" customFormat="false" ht="31.5" hidden="false" customHeight="true" outlineLevel="0" collapsed="false">
      <c r="A12" s="7" t="s">
        <v>81</v>
      </c>
      <c r="B12" s="7" t="s">
        <v>100</v>
      </c>
      <c r="C12" s="7" t="s">
        <v>101</v>
      </c>
      <c r="D12" s="10" t="s">
        <v>73</v>
      </c>
      <c r="E12" s="10" t="s">
        <v>73</v>
      </c>
      <c r="F12" s="10" t="s">
        <v>73</v>
      </c>
      <c r="G12" s="10" t="s">
        <v>73</v>
      </c>
      <c r="H12" s="7" t="s">
        <v>102</v>
      </c>
    </row>
    <row r="13" customFormat="false" ht="31.5" hidden="false" customHeight="true" outlineLevel="0" collapsed="false">
      <c r="A13" s="7" t="s">
        <v>81</v>
      </c>
      <c r="B13" s="7" t="s">
        <v>103</v>
      </c>
      <c r="C13" s="7" t="s">
        <v>72</v>
      </c>
      <c r="D13" s="10" t="s">
        <v>73</v>
      </c>
      <c r="E13" s="10" t="s">
        <v>73</v>
      </c>
      <c r="F13" s="10" t="s">
        <v>73</v>
      </c>
      <c r="G13" s="10" t="s">
        <v>73</v>
      </c>
      <c r="H13" s="7" t="s">
        <v>104</v>
      </c>
    </row>
    <row r="14" customFormat="false" ht="31.5" hidden="false" customHeight="true" outlineLevel="0" collapsed="false">
      <c r="A14" s="7" t="s">
        <v>81</v>
      </c>
      <c r="B14" s="7" t="s">
        <v>105</v>
      </c>
      <c r="C14" s="7" t="s">
        <v>106</v>
      </c>
      <c r="D14" s="10" t="s">
        <v>73</v>
      </c>
      <c r="E14" s="10" t="s">
        <v>73</v>
      </c>
      <c r="F14" s="10" t="s">
        <v>73</v>
      </c>
      <c r="G14" s="10" t="s">
        <v>73</v>
      </c>
      <c r="H14" s="7" t="s">
        <v>107</v>
      </c>
    </row>
    <row r="15" customFormat="false" ht="31.5" hidden="false" customHeight="true" outlineLevel="0" collapsed="false">
      <c r="A15" s="7" t="s">
        <v>81</v>
      </c>
      <c r="B15" s="7" t="s">
        <v>108</v>
      </c>
      <c r="C15" s="7" t="s">
        <v>72</v>
      </c>
      <c r="D15" s="10" t="s">
        <v>73</v>
      </c>
      <c r="E15" s="10" t="s">
        <v>73</v>
      </c>
      <c r="F15" s="10" t="s">
        <v>73</v>
      </c>
      <c r="G15" s="10" t="s">
        <v>73</v>
      </c>
      <c r="H15" s="7" t="s">
        <v>109</v>
      </c>
    </row>
    <row r="16" customFormat="false" ht="31.5" hidden="false" customHeight="true" outlineLevel="0" collapsed="false">
      <c r="A16" s="7" t="s">
        <v>110</v>
      </c>
      <c r="B16" s="7" t="s">
        <v>111</v>
      </c>
      <c r="C16" s="7" t="s">
        <v>112</v>
      </c>
      <c r="D16" s="12" t="s">
        <v>113</v>
      </c>
      <c r="E16" s="12" t="s">
        <v>113</v>
      </c>
      <c r="F16" s="12" t="s">
        <v>113</v>
      </c>
      <c r="G16" s="12" t="s">
        <v>113</v>
      </c>
      <c r="H16" s="7" t="s">
        <v>114</v>
      </c>
    </row>
    <row r="17" customFormat="false" ht="31.5" hidden="false" customHeight="true" outlineLevel="0" collapsed="false">
      <c r="A17" s="7" t="s">
        <v>110</v>
      </c>
      <c r="B17" s="7" t="s">
        <v>115</v>
      </c>
      <c r="C17" s="7" t="s">
        <v>72</v>
      </c>
      <c r="D17" s="10" t="s">
        <v>73</v>
      </c>
      <c r="E17" s="10" t="s">
        <v>73</v>
      </c>
      <c r="F17" s="10" t="s">
        <v>73</v>
      </c>
      <c r="G17" s="10" t="s">
        <v>73</v>
      </c>
      <c r="H17" s="7" t="s">
        <v>116</v>
      </c>
    </row>
    <row r="18" customFormat="false" ht="31.5" hidden="false" customHeight="true" outlineLevel="0" collapsed="false">
      <c r="A18" s="7" t="s">
        <v>110</v>
      </c>
      <c r="B18" s="7" t="s">
        <v>117</v>
      </c>
      <c r="C18" s="7" t="s">
        <v>72</v>
      </c>
      <c r="D18" s="11" t="s">
        <v>94</v>
      </c>
      <c r="E18" s="11" t="s">
        <v>94</v>
      </c>
      <c r="F18" s="11" t="s">
        <v>94</v>
      </c>
      <c r="G18" s="11" t="s">
        <v>94</v>
      </c>
      <c r="H18" s="7" t="s">
        <v>118</v>
      </c>
    </row>
    <row r="19" customFormat="false" ht="31.5" hidden="false" customHeight="true" outlineLevel="0" collapsed="false">
      <c r="A19" s="7" t="s">
        <v>110</v>
      </c>
      <c r="B19" s="7" t="s">
        <v>119</v>
      </c>
      <c r="C19" s="7" t="s">
        <v>120</v>
      </c>
      <c r="D19" s="10" t="s">
        <v>73</v>
      </c>
      <c r="E19" s="10" t="s">
        <v>73</v>
      </c>
      <c r="F19" s="10" t="s">
        <v>73</v>
      </c>
      <c r="G19" s="10" t="s">
        <v>73</v>
      </c>
      <c r="H19" s="7" t="s">
        <v>121</v>
      </c>
    </row>
    <row r="20" customFormat="false" ht="31.5" hidden="false" customHeight="true" outlineLevel="0" collapsed="false">
      <c r="A20" s="7" t="s">
        <v>110</v>
      </c>
      <c r="B20" s="7" t="s">
        <v>122</v>
      </c>
      <c r="C20" s="7" t="s">
        <v>123</v>
      </c>
      <c r="D20" s="10" t="s">
        <v>73</v>
      </c>
      <c r="E20" s="10" t="s">
        <v>73</v>
      </c>
      <c r="F20" s="10" t="s">
        <v>73</v>
      </c>
      <c r="G20" s="10" t="s">
        <v>73</v>
      </c>
      <c r="H20" s="7" t="s">
        <v>97</v>
      </c>
    </row>
    <row r="21" customFormat="false" ht="31.5" hidden="false" customHeight="true" outlineLevel="0" collapsed="false">
      <c r="A21" s="7" t="s">
        <v>124</v>
      </c>
      <c r="B21" s="7" t="s">
        <v>125</v>
      </c>
      <c r="C21" s="7" t="s">
        <v>72</v>
      </c>
      <c r="D21" s="12" t="s">
        <v>113</v>
      </c>
      <c r="E21" s="12" t="s">
        <v>113</v>
      </c>
      <c r="F21" s="12" t="s">
        <v>113</v>
      </c>
      <c r="G21" s="12" t="s">
        <v>113</v>
      </c>
      <c r="H21" s="7" t="s">
        <v>126</v>
      </c>
    </row>
    <row r="22" customFormat="false" ht="31.5" hidden="false" customHeight="true" outlineLevel="0" collapsed="false">
      <c r="A22" s="7" t="s">
        <v>124</v>
      </c>
      <c r="B22" s="7" t="s">
        <v>127</v>
      </c>
      <c r="C22" s="7" t="s">
        <v>72</v>
      </c>
      <c r="D22" s="12" t="s">
        <v>113</v>
      </c>
      <c r="E22" s="12" t="s">
        <v>113</v>
      </c>
      <c r="F22" s="12" t="s">
        <v>113</v>
      </c>
      <c r="G22" s="12" t="s">
        <v>113</v>
      </c>
      <c r="H22" s="7" t="s">
        <v>128</v>
      </c>
    </row>
    <row r="23" customFormat="false" ht="31.5" hidden="false" customHeight="true" outlineLevel="0" collapsed="false">
      <c r="A23" s="7" t="s">
        <v>129</v>
      </c>
      <c r="B23" s="7" t="s">
        <v>130</v>
      </c>
      <c r="C23" s="7" t="s">
        <v>72</v>
      </c>
      <c r="D23" s="10" t="s">
        <v>73</v>
      </c>
      <c r="E23" s="10" t="s">
        <v>73</v>
      </c>
      <c r="F23" s="10" t="s">
        <v>73</v>
      </c>
      <c r="G23" s="10" t="s">
        <v>73</v>
      </c>
      <c r="H23" s="7"/>
    </row>
    <row r="24" customFormat="false" ht="31.5" hidden="false" customHeight="true" outlineLevel="0" collapsed="false">
      <c r="A24" s="7" t="s">
        <v>129</v>
      </c>
      <c r="B24" s="7" t="s">
        <v>131</v>
      </c>
      <c r="C24" s="7" t="s">
        <v>123</v>
      </c>
      <c r="D24" s="10" t="s">
        <v>73</v>
      </c>
      <c r="E24" s="10" t="s">
        <v>73</v>
      </c>
      <c r="F24" s="10" t="s">
        <v>73</v>
      </c>
      <c r="G24" s="10" t="s">
        <v>73</v>
      </c>
      <c r="H24" s="7" t="s">
        <v>132</v>
      </c>
    </row>
    <row r="25" customFormat="false" ht="31.5" hidden="false" customHeight="true" outlineLevel="0" collapsed="false">
      <c r="A25" s="7" t="s">
        <v>129</v>
      </c>
      <c r="B25" s="7" t="s">
        <v>133</v>
      </c>
      <c r="C25" s="7" t="s">
        <v>72</v>
      </c>
      <c r="D25" s="10" t="s">
        <v>73</v>
      </c>
      <c r="E25" s="10" t="s">
        <v>73</v>
      </c>
      <c r="F25" s="10" t="s">
        <v>73</v>
      </c>
      <c r="G25" s="10" t="s">
        <v>73</v>
      </c>
      <c r="H25" s="7" t="s">
        <v>134</v>
      </c>
    </row>
    <row r="27" customFormat="false" ht="15" hidden="false" customHeight="false" outlineLevel="0" collapsed="false">
      <c r="C27" s="13" t="s">
        <v>135</v>
      </c>
      <c r="D27" s="14" t="n">
        <f aca="false">COUNTIF(D$2:D$25,"OK")</f>
        <v>19</v>
      </c>
      <c r="E27" s="14" t="n">
        <f aca="false">COUNTIF(E$2:E$25,"OK")</f>
        <v>19</v>
      </c>
      <c r="F27" s="14" t="n">
        <f aca="false">COUNTIF(F$2:F$25,"OK")</f>
        <v>19</v>
      </c>
      <c r="G27" s="14" t="n">
        <f aca="false">COUNTIF(G$2:G$25,"OK")</f>
        <v>19</v>
      </c>
    </row>
    <row r="28" customFormat="false" ht="15" hidden="false" customHeight="false" outlineLevel="0" collapsed="false">
      <c r="C28" s="13" t="s">
        <v>136</v>
      </c>
      <c r="D28" s="14" t="n">
        <f aca="false">COUNTIF(D$2:D$25,"PARCIAL")</f>
        <v>3</v>
      </c>
      <c r="E28" s="14" t="n">
        <f aca="false">COUNTIF(E$2:E$25,"PARCIAL")</f>
        <v>3</v>
      </c>
      <c r="F28" s="14" t="n">
        <f aca="false">COUNTIF(F$2:F$25,"PARCIAL")</f>
        <v>3</v>
      </c>
      <c r="G28" s="14" t="n">
        <f aca="false">COUNTIF(G$2:G$25,"PARCIAL")</f>
        <v>3</v>
      </c>
    </row>
    <row r="29" customFormat="false" ht="15" hidden="false" customHeight="false" outlineLevel="0" collapsed="false">
      <c r="C29" s="13" t="s">
        <v>137</v>
      </c>
      <c r="D29" s="14" t="n">
        <f aca="false">COUNTIF(D$2:D$25,"FALTA")</f>
        <v>0</v>
      </c>
      <c r="E29" s="14" t="n">
        <f aca="false">COUNTIF(E$2:E$25,"FALTA")</f>
        <v>0</v>
      </c>
      <c r="F29" s="14" t="n">
        <f aca="false">COUNTIF(F$2:F$25,"FALTA")</f>
        <v>0</v>
      </c>
      <c r="G29" s="14" t="n">
        <f aca="false">COUNTIF(G$2:G$25,"FALTA")</f>
        <v>0</v>
      </c>
    </row>
    <row r="30" customFormat="false" ht="15" hidden="false" customHeight="false" outlineLevel="0" collapsed="false">
      <c r="C30" s="15" t="s">
        <v>138</v>
      </c>
      <c r="D30" s="16" t="n">
        <f aca="false">D27/(COUNTA(D$2:D$25)-COUNTIF(D$2:D$25,"N/A"))</f>
        <v>0.863636363636364</v>
      </c>
      <c r="E30" s="16" t="n">
        <f aca="false">E27/(COUNTA(E$2:E$25)-COUNTIF(E$2:E$25,"N/A"))</f>
        <v>0.863636363636364</v>
      </c>
      <c r="F30" s="16" t="n">
        <f aca="false">F27/(COUNTA(F$2:F$25)-COUNTIF(F$2:F$25,"N/A"))</f>
        <v>0.863636363636364</v>
      </c>
      <c r="G30" s="16" t="n">
        <f aca="false">G27/(COUNTA(G$2:G$25)-COUNTIF(G$2:G$25,"N/A"))</f>
        <v>0.863636363636364</v>
      </c>
    </row>
    <row r="32" customFormat="false" ht="15" hidden="false" customHeight="true" outlineLevel="0" collapsed="false">
      <c r="B32" s="17" t="s">
        <v>139</v>
      </c>
      <c r="C32" s="17"/>
      <c r="D32" s="17"/>
      <c r="E32" s="17"/>
      <c r="F32" s="17"/>
      <c r="G32" s="17"/>
      <c r="H32" s="17"/>
    </row>
    <row r="33" customFormat="false" ht="15" hidden="false" customHeight="false" outlineLevel="0" collapsed="false">
      <c r="B33" s="17"/>
      <c r="C33" s="17"/>
      <c r="D33" s="17"/>
      <c r="E33" s="17"/>
      <c r="F33" s="17"/>
      <c r="G33" s="17"/>
      <c r="H33" s="17"/>
    </row>
  </sheetData>
  <mergeCells count="1">
    <mergeCell ref="B32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5" min="4" style="0" width="46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30" hidden="false" customHeight="true" outlineLevel="0" collapsed="false">
      <c r="A1" s="6" t="s">
        <v>140</v>
      </c>
      <c r="B1" s="6" t="s">
        <v>62</v>
      </c>
      <c r="C1" s="6" t="s">
        <v>141</v>
      </c>
      <c r="D1" s="6" t="s">
        <v>142</v>
      </c>
      <c r="E1" s="6" t="s">
        <v>143</v>
      </c>
      <c r="F1" s="6" t="s">
        <v>144</v>
      </c>
      <c r="G1" s="6" t="s">
        <v>20</v>
      </c>
    </row>
    <row r="2" customFormat="false" ht="30" hidden="false" customHeight="true" outlineLevel="0" collapsed="false">
      <c r="A2" s="7" t="s">
        <v>65</v>
      </c>
      <c r="B2" s="7" t="s">
        <v>145</v>
      </c>
      <c r="C2" s="7" t="s">
        <v>146</v>
      </c>
      <c r="D2" s="7" t="s">
        <v>147</v>
      </c>
      <c r="E2" s="7" t="s">
        <v>148</v>
      </c>
      <c r="F2" s="7" t="s">
        <v>149</v>
      </c>
      <c r="G2" s="12" t="s">
        <v>150</v>
      </c>
    </row>
    <row r="3" customFormat="false" ht="30" hidden="false" customHeight="true" outlineLevel="0" collapsed="false">
      <c r="A3" s="7" t="s">
        <v>65</v>
      </c>
      <c r="B3" s="7" t="s">
        <v>145</v>
      </c>
      <c r="C3" s="7" t="s">
        <v>151</v>
      </c>
      <c r="D3" s="7" t="s">
        <v>152</v>
      </c>
      <c r="E3" s="7" t="s">
        <v>153</v>
      </c>
      <c r="F3" s="7" t="s">
        <v>149</v>
      </c>
      <c r="G3" s="12" t="s">
        <v>154</v>
      </c>
    </row>
    <row r="4" customFormat="false" ht="30" hidden="false" customHeight="true" outlineLevel="0" collapsed="false">
      <c r="A4" s="7" t="s">
        <v>65</v>
      </c>
      <c r="B4" s="7" t="s">
        <v>145</v>
      </c>
      <c r="C4" s="7" t="s">
        <v>35</v>
      </c>
      <c r="D4" s="7" t="s">
        <v>155</v>
      </c>
      <c r="E4" s="7" t="s">
        <v>156</v>
      </c>
      <c r="F4" s="7" t="s">
        <v>149</v>
      </c>
      <c r="G4" s="12" t="s">
        <v>150</v>
      </c>
    </row>
    <row r="5" customFormat="false" ht="30" hidden="false" customHeight="true" outlineLevel="0" collapsed="false">
      <c r="A5" s="7" t="s">
        <v>65</v>
      </c>
      <c r="B5" s="7" t="s">
        <v>145</v>
      </c>
      <c r="C5" s="7" t="s">
        <v>35</v>
      </c>
      <c r="D5" s="7" t="s">
        <v>157</v>
      </c>
      <c r="E5" s="7" t="s">
        <v>158</v>
      </c>
      <c r="F5" s="7" t="s">
        <v>149</v>
      </c>
      <c r="G5" s="12" t="s">
        <v>150</v>
      </c>
    </row>
    <row r="6" customFormat="false" ht="30" hidden="false" customHeight="true" outlineLevel="0" collapsed="false">
      <c r="A6" s="7" t="s">
        <v>65</v>
      </c>
      <c r="B6" s="7" t="s">
        <v>145</v>
      </c>
      <c r="C6" s="7" t="s">
        <v>159</v>
      </c>
      <c r="D6" s="7" t="s">
        <v>160</v>
      </c>
      <c r="E6" s="7" t="s">
        <v>161</v>
      </c>
      <c r="F6" s="7" t="s">
        <v>149</v>
      </c>
      <c r="G6" s="12" t="s">
        <v>150</v>
      </c>
    </row>
    <row r="7" customFormat="false" ht="30" hidden="false" customHeight="true" outlineLevel="0" collapsed="false">
      <c r="A7" s="7" t="s">
        <v>65</v>
      </c>
      <c r="B7" s="7" t="s">
        <v>162</v>
      </c>
      <c r="C7" s="7" t="s">
        <v>163</v>
      </c>
      <c r="D7" s="7" t="s">
        <v>164</v>
      </c>
      <c r="E7" s="7" t="s">
        <v>165</v>
      </c>
      <c r="F7" s="7" t="s">
        <v>149</v>
      </c>
      <c r="G7" s="12" t="s">
        <v>154</v>
      </c>
    </row>
    <row r="8" customFormat="false" ht="30" hidden="false" customHeight="true" outlineLevel="0" collapsed="false">
      <c r="A8" s="7" t="s">
        <v>65</v>
      </c>
      <c r="B8" s="7" t="s">
        <v>162</v>
      </c>
      <c r="C8" s="7" t="s">
        <v>166</v>
      </c>
      <c r="D8" s="7" t="s">
        <v>167</v>
      </c>
      <c r="E8" s="7" t="s">
        <v>168</v>
      </c>
      <c r="F8" s="7" t="s">
        <v>149</v>
      </c>
      <c r="G8" s="12" t="s">
        <v>150</v>
      </c>
    </row>
    <row r="9" customFormat="false" ht="30" hidden="false" customHeight="true" outlineLevel="0" collapsed="false">
      <c r="A9" s="7" t="s">
        <v>66</v>
      </c>
      <c r="B9" s="7" t="s">
        <v>145</v>
      </c>
      <c r="C9" s="7" t="s">
        <v>38</v>
      </c>
      <c r="D9" s="7" t="s">
        <v>169</v>
      </c>
      <c r="E9" s="7" t="s">
        <v>170</v>
      </c>
      <c r="F9" s="7" t="s">
        <v>149</v>
      </c>
      <c r="G9" s="12" t="s">
        <v>150</v>
      </c>
    </row>
    <row r="10" customFormat="false" ht="30" hidden="false" customHeight="true" outlineLevel="0" collapsed="false">
      <c r="A10" s="7" t="s">
        <v>66</v>
      </c>
      <c r="B10" s="7" t="s">
        <v>145</v>
      </c>
      <c r="C10" s="7" t="s">
        <v>171</v>
      </c>
      <c r="D10" s="7" t="s">
        <v>172</v>
      </c>
      <c r="E10" s="7" t="s">
        <v>173</v>
      </c>
      <c r="F10" s="7" t="s">
        <v>149</v>
      </c>
      <c r="G10" s="12" t="s">
        <v>150</v>
      </c>
    </row>
    <row r="11" customFormat="false" ht="30" hidden="false" customHeight="true" outlineLevel="0" collapsed="false">
      <c r="A11" s="7" t="s">
        <v>66</v>
      </c>
      <c r="B11" s="7" t="s">
        <v>162</v>
      </c>
      <c r="C11" s="7" t="s">
        <v>163</v>
      </c>
      <c r="D11" s="7" t="s">
        <v>174</v>
      </c>
      <c r="E11" s="7" t="s">
        <v>175</v>
      </c>
      <c r="F11" s="7" t="s">
        <v>149</v>
      </c>
      <c r="G11" s="12" t="s">
        <v>150</v>
      </c>
    </row>
    <row r="12" customFormat="false" ht="30" hidden="false" customHeight="true" outlineLevel="0" collapsed="false">
      <c r="A12" s="7" t="s">
        <v>176</v>
      </c>
      <c r="B12" s="7" t="s">
        <v>177</v>
      </c>
      <c r="C12" s="7" t="s">
        <v>178</v>
      </c>
      <c r="D12" s="7" t="s">
        <v>179</v>
      </c>
      <c r="E12" s="7" t="s">
        <v>180</v>
      </c>
      <c r="F12" s="7" t="s">
        <v>149</v>
      </c>
      <c r="G12" s="12" t="s">
        <v>181</v>
      </c>
    </row>
    <row r="13" customFormat="false" ht="30" hidden="false" customHeight="true" outlineLevel="0" collapsed="false">
      <c r="A13" s="7" t="s">
        <v>176</v>
      </c>
      <c r="B13" s="7" t="s">
        <v>177</v>
      </c>
      <c r="C13" s="7" t="s">
        <v>182</v>
      </c>
      <c r="D13" s="7" t="s">
        <v>183</v>
      </c>
      <c r="E13" s="7" t="s">
        <v>184</v>
      </c>
      <c r="F13" s="7" t="s">
        <v>185</v>
      </c>
      <c r="G13" s="12" t="s">
        <v>154</v>
      </c>
    </row>
    <row r="14" customFormat="false" ht="30" hidden="false" customHeight="true" outlineLevel="0" collapsed="false">
      <c r="A14" s="7" t="s">
        <v>176</v>
      </c>
      <c r="B14" s="7" t="s">
        <v>177</v>
      </c>
      <c r="C14" s="7" t="s">
        <v>146</v>
      </c>
      <c r="D14" s="7" t="s">
        <v>186</v>
      </c>
      <c r="E14" s="7" t="s">
        <v>187</v>
      </c>
      <c r="F14" s="7" t="s">
        <v>185</v>
      </c>
      <c r="G14" s="12" t="s">
        <v>150</v>
      </c>
    </row>
    <row r="15" customFormat="false" ht="30" hidden="false" customHeight="true" outlineLevel="0" collapsed="false">
      <c r="A15" s="7" t="s">
        <v>176</v>
      </c>
      <c r="B15" s="7" t="s">
        <v>162</v>
      </c>
      <c r="C15" s="7" t="s">
        <v>188</v>
      </c>
      <c r="D15" s="7" t="s">
        <v>189</v>
      </c>
      <c r="E15" s="7" t="s">
        <v>190</v>
      </c>
      <c r="F15" s="7" t="s">
        <v>185</v>
      </c>
      <c r="G15" s="12" t="s">
        <v>154</v>
      </c>
    </row>
    <row r="16" customFormat="false" ht="30" hidden="false" customHeight="true" outlineLevel="0" collapsed="false">
      <c r="A16" s="7" t="s">
        <v>176</v>
      </c>
      <c r="B16" s="7" t="s">
        <v>191</v>
      </c>
      <c r="C16" s="7" t="s">
        <v>192</v>
      </c>
      <c r="D16" s="7" t="s">
        <v>193</v>
      </c>
      <c r="E16" s="7" t="s">
        <v>194</v>
      </c>
      <c r="F16" s="7" t="s">
        <v>185</v>
      </c>
      <c r="G16" s="12" t="s">
        <v>154</v>
      </c>
    </row>
    <row r="17" customFormat="false" ht="30" hidden="false" customHeight="true" outlineLevel="0" collapsed="false">
      <c r="A17" s="7" t="s">
        <v>176</v>
      </c>
      <c r="B17" s="7" t="s">
        <v>145</v>
      </c>
      <c r="C17" s="7" t="s">
        <v>195</v>
      </c>
      <c r="D17" s="7" t="s">
        <v>196</v>
      </c>
      <c r="E17" s="7" t="s">
        <v>197</v>
      </c>
      <c r="F17" s="7" t="s">
        <v>185</v>
      </c>
      <c r="G17" s="12" t="s">
        <v>154</v>
      </c>
    </row>
    <row r="18" customFormat="false" ht="30" hidden="false" customHeight="true" outlineLevel="0" collapsed="false">
      <c r="A18" s="7" t="s">
        <v>176</v>
      </c>
      <c r="B18" s="7" t="s">
        <v>177</v>
      </c>
      <c r="C18" s="7" t="s">
        <v>198</v>
      </c>
      <c r="D18" s="7" t="s">
        <v>199</v>
      </c>
      <c r="E18" s="7" t="s">
        <v>200</v>
      </c>
      <c r="F18" s="7" t="s">
        <v>185</v>
      </c>
      <c r="G18" s="1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6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30"/>
  </cols>
  <sheetData>
    <row r="1" customFormat="false" ht="30" hidden="false" customHeight="true" outlineLevel="0" collapsed="false">
      <c r="A1" s="6" t="s">
        <v>201</v>
      </c>
      <c r="B1" s="6" t="s">
        <v>202</v>
      </c>
      <c r="C1" s="6" t="s">
        <v>203</v>
      </c>
      <c r="D1" s="6" t="s">
        <v>204</v>
      </c>
      <c r="E1" s="6" t="s">
        <v>205</v>
      </c>
      <c r="F1" s="6" t="s">
        <v>206</v>
      </c>
    </row>
    <row r="2" customFormat="false" ht="73.5" hidden="false" customHeight="true" outlineLevel="0" collapsed="false">
      <c r="A2" s="18" t="n">
        <v>1</v>
      </c>
      <c r="B2" s="7" t="s">
        <v>207</v>
      </c>
      <c r="C2" s="7" t="s">
        <v>208</v>
      </c>
      <c r="D2" s="7" t="s">
        <v>209</v>
      </c>
      <c r="E2" s="7" t="s">
        <v>210</v>
      </c>
      <c r="F2" s="8"/>
    </row>
    <row r="3" customFormat="false" ht="73.5" hidden="false" customHeight="true" outlineLevel="0" collapsed="false">
      <c r="A3" s="18" t="n">
        <v>2</v>
      </c>
      <c r="B3" s="7" t="s">
        <v>211</v>
      </c>
      <c r="C3" s="7" t="s">
        <v>212</v>
      </c>
      <c r="D3" s="7" t="s">
        <v>213</v>
      </c>
      <c r="E3" s="7" t="s">
        <v>214</v>
      </c>
      <c r="F3" s="8"/>
    </row>
    <row r="4" customFormat="false" ht="73.5" hidden="false" customHeight="true" outlineLevel="0" collapsed="false">
      <c r="A4" s="18" t="n">
        <v>3</v>
      </c>
      <c r="B4" s="7" t="s">
        <v>215</v>
      </c>
      <c r="C4" s="7" t="s">
        <v>216</v>
      </c>
      <c r="D4" s="7" t="s">
        <v>217</v>
      </c>
      <c r="E4" s="7" t="s">
        <v>218</v>
      </c>
      <c r="F4" s="8"/>
    </row>
    <row r="5" customFormat="false" ht="73.5" hidden="false" customHeight="true" outlineLevel="0" collapsed="false">
      <c r="A5" s="18" t="n">
        <v>4</v>
      </c>
      <c r="B5" s="7" t="s">
        <v>219</v>
      </c>
      <c r="C5" s="7" t="s">
        <v>220</v>
      </c>
      <c r="D5" s="7" t="s">
        <v>221</v>
      </c>
      <c r="E5" s="7" t="s">
        <v>222</v>
      </c>
      <c r="F5" s="8"/>
    </row>
    <row r="6" customFormat="false" ht="73.5" hidden="false" customHeight="true" outlineLevel="0" collapsed="false">
      <c r="A6" s="18" t="n">
        <v>5</v>
      </c>
      <c r="B6" s="7" t="s">
        <v>223</v>
      </c>
      <c r="C6" s="7" t="s">
        <v>224</v>
      </c>
      <c r="D6" s="7" t="s">
        <v>225</v>
      </c>
      <c r="E6" s="7" t="s">
        <v>226</v>
      </c>
      <c r="F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6" t="s">
        <v>140</v>
      </c>
      <c r="B1" s="6" t="s">
        <v>62</v>
      </c>
      <c r="C1" s="6" t="s">
        <v>141</v>
      </c>
      <c r="D1" s="6" t="s">
        <v>227</v>
      </c>
      <c r="E1" s="6" t="s">
        <v>228</v>
      </c>
      <c r="F1" s="6" t="s">
        <v>229</v>
      </c>
      <c r="G1" s="6" t="s">
        <v>230</v>
      </c>
      <c r="H1" s="6" t="s">
        <v>231</v>
      </c>
      <c r="I1" s="6" t="s">
        <v>232</v>
      </c>
      <c r="J1" s="6" t="s">
        <v>28</v>
      </c>
    </row>
    <row r="2" customFormat="false" ht="19.5" hidden="false" customHeight="true" outlineLevel="0" collapsed="false">
      <c r="A2" s="19" t="s">
        <v>233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0" t="s">
        <v>65</v>
      </c>
      <c r="B3" s="20" t="s">
        <v>145</v>
      </c>
      <c r="C3" s="20" t="s">
        <v>234</v>
      </c>
      <c r="D3" s="20" t="s">
        <v>235</v>
      </c>
      <c r="E3" s="20" t="s">
        <v>236</v>
      </c>
      <c r="F3" s="20" t="s">
        <v>237</v>
      </c>
      <c r="G3" s="20" t="s">
        <v>238</v>
      </c>
      <c r="H3" s="20"/>
      <c r="I3" s="20"/>
      <c r="J3" s="20"/>
    </row>
    <row r="4" customFormat="false" ht="15" hidden="false" customHeight="false" outlineLevel="0" collapsed="false">
      <c r="A4" s="20" t="s">
        <v>65</v>
      </c>
      <c r="B4" s="20" t="s">
        <v>145</v>
      </c>
      <c r="C4" s="20" t="s">
        <v>234</v>
      </c>
      <c r="D4" s="20" t="s">
        <v>235</v>
      </c>
      <c r="E4" s="20" t="s">
        <v>239</v>
      </c>
      <c r="F4" s="20" t="s">
        <v>240</v>
      </c>
      <c r="G4" s="20" t="s">
        <v>238</v>
      </c>
      <c r="H4" s="20"/>
      <c r="I4" s="20"/>
      <c r="J4" s="20"/>
    </row>
    <row r="5" customFormat="false" ht="15" hidden="false" customHeight="false" outlineLevel="0" collapsed="false">
      <c r="A5" s="20" t="s">
        <v>65</v>
      </c>
      <c r="B5" s="20" t="s">
        <v>145</v>
      </c>
      <c r="C5" s="20" t="s">
        <v>234</v>
      </c>
      <c r="D5" s="20" t="s">
        <v>235</v>
      </c>
      <c r="E5" s="20" t="s">
        <v>241</v>
      </c>
      <c r="F5" s="20" t="s">
        <v>242</v>
      </c>
      <c r="G5" s="20" t="s">
        <v>238</v>
      </c>
      <c r="H5" s="20"/>
      <c r="I5" s="20"/>
      <c r="J5" s="20"/>
    </row>
    <row r="6" customFormat="false" ht="15" hidden="false" customHeight="false" outlineLevel="0" collapsed="false">
      <c r="A6" s="20" t="s">
        <v>65</v>
      </c>
      <c r="B6" s="20" t="s">
        <v>145</v>
      </c>
      <c r="C6" s="20" t="s">
        <v>234</v>
      </c>
      <c r="D6" s="20" t="s">
        <v>235</v>
      </c>
      <c r="E6" s="20" t="s">
        <v>243</v>
      </c>
      <c r="F6" s="20" t="s">
        <v>244</v>
      </c>
      <c r="G6" s="20" t="s">
        <v>238</v>
      </c>
      <c r="H6" s="20"/>
      <c r="I6" s="20"/>
      <c r="J6" s="20"/>
    </row>
    <row r="7" customFormat="false" ht="15" hidden="false" customHeight="false" outlineLevel="0" collapsed="false">
      <c r="A7" s="20" t="s">
        <v>65</v>
      </c>
      <c r="B7" s="20" t="s">
        <v>145</v>
      </c>
      <c r="C7" s="20" t="s">
        <v>234</v>
      </c>
      <c r="D7" s="20" t="s">
        <v>235</v>
      </c>
      <c r="E7" s="20" t="s">
        <v>245</v>
      </c>
      <c r="F7" s="20" t="s">
        <v>246</v>
      </c>
      <c r="G7" s="20" t="s">
        <v>238</v>
      </c>
      <c r="H7" s="20"/>
      <c r="I7" s="20"/>
      <c r="J7" s="20"/>
    </row>
    <row r="8" customFormat="false" ht="15" hidden="false" customHeight="false" outlineLevel="0" collapsed="false">
      <c r="A8" s="20" t="s">
        <v>65</v>
      </c>
      <c r="B8" s="20" t="s">
        <v>145</v>
      </c>
      <c r="C8" s="20" t="s">
        <v>234</v>
      </c>
      <c r="D8" s="20" t="s">
        <v>235</v>
      </c>
      <c r="E8" s="20" t="s">
        <v>247</v>
      </c>
      <c r="F8" s="20" t="s">
        <v>248</v>
      </c>
      <c r="G8" s="20" t="s">
        <v>238</v>
      </c>
      <c r="H8" s="20"/>
      <c r="I8" s="20"/>
      <c r="J8" s="20"/>
    </row>
    <row r="9" customFormat="false" ht="15" hidden="false" customHeight="false" outlineLevel="0" collapsed="false">
      <c r="A9" s="20" t="s">
        <v>65</v>
      </c>
      <c r="B9" s="20" t="s">
        <v>145</v>
      </c>
      <c r="C9" s="20" t="s">
        <v>234</v>
      </c>
      <c r="D9" s="20" t="s">
        <v>235</v>
      </c>
      <c r="E9" s="20" t="s">
        <v>249</v>
      </c>
      <c r="F9" s="20" t="s">
        <v>250</v>
      </c>
      <c r="G9" s="20" t="s">
        <v>238</v>
      </c>
      <c r="H9" s="20"/>
      <c r="I9" s="20"/>
      <c r="J9" s="20"/>
    </row>
    <row r="10" customFormat="false" ht="15" hidden="false" customHeight="false" outlineLevel="0" collapsed="false">
      <c r="A10" s="20" t="s">
        <v>65</v>
      </c>
      <c r="B10" s="20" t="s">
        <v>145</v>
      </c>
      <c r="C10" s="20" t="s">
        <v>234</v>
      </c>
      <c r="D10" s="20" t="s">
        <v>235</v>
      </c>
      <c r="E10" s="20" t="s">
        <v>251</v>
      </c>
      <c r="F10" s="20" t="s">
        <v>252</v>
      </c>
      <c r="G10" s="20" t="s">
        <v>238</v>
      </c>
      <c r="H10" s="20"/>
      <c r="I10" s="20"/>
      <c r="J10" s="20"/>
    </row>
    <row r="11" customFormat="false" ht="15" hidden="false" customHeight="false" outlineLevel="0" collapsed="false">
      <c r="A11" s="20" t="s">
        <v>65</v>
      </c>
      <c r="B11" s="20" t="s">
        <v>145</v>
      </c>
      <c r="C11" s="20" t="s">
        <v>234</v>
      </c>
      <c r="D11" s="20" t="s">
        <v>235</v>
      </c>
      <c r="E11" s="20" t="s">
        <v>253</v>
      </c>
      <c r="F11" s="20" t="s">
        <v>254</v>
      </c>
      <c r="G11" s="20" t="s">
        <v>238</v>
      </c>
      <c r="H11" s="20"/>
      <c r="I11" s="20"/>
      <c r="J11" s="20"/>
    </row>
    <row r="12" customFormat="false" ht="15" hidden="false" customHeight="false" outlineLevel="0" collapsed="false">
      <c r="A12" s="20" t="s">
        <v>65</v>
      </c>
      <c r="B12" s="20" t="s">
        <v>145</v>
      </c>
      <c r="C12" s="20" t="s">
        <v>234</v>
      </c>
      <c r="D12" s="20" t="s">
        <v>235</v>
      </c>
      <c r="E12" s="20" t="s">
        <v>255</v>
      </c>
      <c r="F12" s="20" t="s">
        <v>256</v>
      </c>
      <c r="G12" s="20" t="s">
        <v>238</v>
      </c>
      <c r="H12" s="20"/>
      <c r="I12" s="20"/>
      <c r="J12" s="20"/>
    </row>
    <row r="13" customFormat="false" ht="15" hidden="false" customHeight="false" outlineLevel="0" collapsed="false">
      <c r="A13" s="20" t="s">
        <v>65</v>
      </c>
      <c r="B13" s="20" t="s">
        <v>145</v>
      </c>
      <c r="C13" s="20" t="s">
        <v>257</v>
      </c>
      <c r="D13" s="20" t="s">
        <v>235</v>
      </c>
      <c r="E13" s="20" t="s">
        <v>258</v>
      </c>
      <c r="F13" s="20" t="s">
        <v>259</v>
      </c>
      <c r="G13" s="20" t="s">
        <v>238</v>
      </c>
      <c r="H13" s="20"/>
      <c r="I13" s="20"/>
      <c r="J13" s="20"/>
    </row>
    <row r="14" customFormat="false" ht="15" hidden="false" customHeight="false" outlineLevel="0" collapsed="false">
      <c r="A14" s="20" t="s">
        <v>65</v>
      </c>
      <c r="B14" s="20" t="s">
        <v>145</v>
      </c>
      <c r="C14" s="20" t="s">
        <v>257</v>
      </c>
      <c r="D14" s="20" t="s">
        <v>235</v>
      </c>
      <c r="E14" s="20" t="s">
        <v>260</v>
      </c>
      <c r="F14" s="20" t="s">
        <v>261</v>
      </c>
      <c r="G14" s="20" t="s">
        <v>238</v>
      </c>
      <c r="H14" s="20"/>
      <c r="I14" s="20"/>
      <c r="J14" s="20"/>
    </row>
    <row r="15" customFormat="false" ht="15" hidden="false" customHeight="false" outlineLevel="0" collapsed="false">
      <c r="A15" s="20" t="s">
        <v>65</v>
      </c>
      <c r="B15" s="20" t="s">
        <v>145</v>
      </c>
      <c r="C15" s="20" t="s">
        <v>257</v>
      </c>
      <c r="D15" s="20" t="s">
        <v>235</v>
      </c>
      <c r="E15" s="20" t="s">
        <v>262</v>
      </c>
      <c r="F15" s="20" t="s">
        <v>262</v>
      </c>
      <c r="G15" s="20" t="s">
        <v>238</v>
      </c>
      <c r="H15" s="20"/>
      <c r="I15" s="20"/>
      <c r="J15" s="20"/>
    </row>
    <row r="16" customFormat="false" ht="15" hidden="false" customHeight="false" outlineLevel="0" collapsed="false">
      <c r="A16" s="20" t="s">
        <v>65</v>
      </c>
      <c r="B16" s="20" t="s">
        <v>145</v>
      </c>
      <c r="C16" s="20" t="s">
        <v>257</v>
      </c>
      <c r="D16" s="20" t="s">
        <v>235</v>
      </c>
      <c r="E16" s="20" t="s">
        <v>263</v>
      </c>
      <c r="F16" s="20" t="s">
        <v>264</v>
      </c>
      <c r="G16" s="20" t="s">
        <v>238</v>
      </c>
      <c r="H16" s="20"/>
      <c r="I16" s="20"/>
      <c r="J16" s="20"/>
    </row>
    <row r="17" customFormat="false" ht="15" hidden="false" customHeight="false" outlineLevel="0" collapsed="false">
      <c r="A17" s="20" t="s">
        <v>65</v>
      </c>
      <c r="B17" s="20" t="s">
        <v>145</v>
      </c>
      <c r="C17" s="20" t="s">
        <v>257</v>
      </c>
      <c r="D17" s="20" t="s">
        <v>235</v>
      </c>
      <c r="E17" s="20" t="s">
        <v>265</v>
      </c>
      <c r="F17" s="20" t="s">
        <v>266</v>
      </c>
      <c r="G17" s="20" t="s">
        <v>238</v>
      </c>
      <c r="H17" s="20"/>
      <c r="I17" s="20"/>
      <c r="J17" s="20"/>
    </row>
    <row r="18" customFormat="false" ht="15" hidden="false" customHeight="false" outlineLevel="0" collapsed="false">
      <c r="A18" s="20" t="s">
        <v>65</v>
      </c>
      <c r="B18" s="20" t="s">
        <v>145</v>
      </c>
      <c r="C18" s="20" t="s">
        <v>257</v>
      </c>
      <c r="D18" s="20" t="s">
        <v>235</v>
      </c>
      <c r="E18" s="20" t="s">
        <v>267</v>
      </c>
      <c r="F18" s="20" t="s">
        <v>268</v>
      </c>
      <c r="G18" s="20" t="s">
        <v>238</v>
      </c>
      <c r="H18" s="20"/>
      <c r="I18" s="20"/>
      <c r="J18" s="20"/>
    </row>
    <row r="19" customFormat="false" ht="15" hidden="false" customHeight="false" outlineLevel="0" collapsed="false">
      <c r="A19" s="20" t="s">
        <v>65</v>
      </c>
      <c r="B19" s="20" t="s">
        <v>145</v>
      </c>
      <c r="C19" s="20" t="s">
        <v>257</v>
      </c>
      <c r="D19" s="20" t="s">
        <v>235</v>
      </c>
      <c r="E19" s="20" t="s">
        <v>269</v>
      </c>
      <c r="F19" s="20" t="s">
        <v>270</v>
      </c>
      <c r="G19" s="20" t="s">
        <v>238</v>
      </c>
      <c r="H19" s="20"/>
      <c r="I19" s="20"/>
      <c r="J19" s="20"/>
    </row>
    <row r="20" customFormat="false" ht="15" hidden="false" customHeight="false" outlineLevel="0" collapsed="false">
      <c r="A20" s="20" t="s">
        <v>65</v>
      </c>
      <c r="B20" s="20" t="s">
        <v>145</v>
      </c>
      <c r="C20" s="20" t="s">
        <v>257</v>
      </c>
      <c r="D20" s="20" t="s">
        <v>235</v>
      </c>
      <c r="E20" s="20" t="s">
        <v>271</v>
      </c>
      <c r="F20" s="20" t="s">
        <v>272</v>
      </c>
      <c r="G20" s="20" t="s">
        <v>238</v>
      </c>
      <c r="H20" s="20"/>
      <c r="I20" s="20"/>
      <c r="J20" s="20"/>
    </row>
    <row r="21" customFormat="false" ht="15" hidden="false" customHeight="false" outlineLevel="0" collapsed="false">
      <c r="A21" s="20" t="s">
        <v>65</v>
      </c>
      <c r="B21" s="20" t="s">
        <v>145</v>
      </c>
      <c r="C21" s="20" t="s">
        <v>25</v>
      </c>
      <c r="D21" s="20" t="s">
        <v>273</v>
      </c>
      <c r="E21" s="20" t="s">
        <v>29</v>
      </c>
      <c r="F21" s="20" t="s">
        <v>274</v>
      </c>
      <c r="G21" s="20" t="s">
        <v>238</v>
      </c>
      <c r="H21" s="20"/>
      <c r="I21" s="20"/>
      <c r="J21" s="20"/>
    </row>
    <row r="22" customFormat="false" ht="15" hidden="false" customHeight="false" outlineLevel="0" collapsed="false">
      <c r="A22" s="20" t="s">
        <v>65</v>
      </c>
      <c r="B22" s="20" t="s">
        <v>145</v>
      </c>
      <c r="C22" s="20" t="s">
        <v>25</v>
      </c>
      <c r="D22" s="20" t="s">
        <v>273</v>
      </c>
      <c r="E22" s="20" t="s">
        <v>275</v>
      </c>
      <c r="F22" s="20" t="s">
        <v>276</v>
      </c>
      <c r="G22" s="20" t="s">
        <v>277</v>
      </c>
      <c r="H22" s="20"/>
      <c r="I22" s="20"/>
      <c r="J22" s="20"/>
    </row>
    <row r="23" customFormat="false" ht="15" hidden="false" customHeight="false" outlineLevel="0" collapsed="false">
      <c r="A23" s="20" t="s">
        <v>65</v>
      </c>
      <c r="B23" s="20" t="s">
        <v>145</v>
      </c>
      <c r="C23" s="20" t="s">
        <v>25</v>
      </c>
      <c r="D23" s="20" t="s">
        <v>273</v>
      </c>
      <c r="E23" s="20" t="s">
        <v>278</v>
      </c>
      <c r="F23" s="20" t="s">
        <v>279</v>
      </c>
      <c r="G23" s="20" t="s">
        <v>277</v>
      </c>
      <c r="H23" s="20"/>
      <c r="I23" s="20"/>
      <c r="J23" s="20"/>
    </row>
    <row r="24" customFormat="false" ht="15" hidden="false" customHeight="false" outlineLevel="0" collapsed="false">
      <c r="A24" s="20" t="s">
        <v>65</v>
      </c>
      <c r="B24" s="20" t="s">
        <v>145</v>
      </c>
      <c r="C24" s="20" t="s">
        <v>25</v>
      </c>
      <c r="D24" s="20" t="s">
        <v>273</v>
      </c>
      <c r="E24" s="20" t="s">
        <v>280</v>
      </c>
      <c r="F24" s="20" t="s">
        <v>281</v>
      </c>
      <c r="G24" s="20" t="s">
        <v>238</v>
      </c>
      <c r="H24" s="20"/>
      <c r="I24" s="20"/>
      <c r="J24" s="20"/>
    </row>
    <row r="25" customFormat="false" ht="15" hidden="false" customHeight="false" outlineLevel="0" collapsed="false">
      <c r="A25" s="20" t="s">
        <v>65</v>
      </c>
      <c r="B25" s="20" t="s">
        <v>145</v>
      </c>
      <c r="C25" s="20" t="s">
        <v>25</v>
      </c>
      <c r="D25" s="20" t="s">
        <v>273</v>
      </c>
      <c r="E25" s="20" t="s">
        <v>282</v>
      </c>
      <c r="F25" s="20" t="s">
        <v>283</v>
      </c>
      <c r="G25" s="20" t="s">
        <v>238</v>
      </c>
      <c r="H25" s="20"/>
      <c r="I25" s="20"/>
      <c r="J25" s="20"/>
    </row>
    <row r="26" customFormat="false" ht="15" hidden="false" customHeight="false" outlineLevel="0" collapsed="false">
      <c r="A26" s="20" t="s">
        <v>65</v>
      </c>
      <c r="B26" s="20" t="s">
        <v>145</v>
      </c>
      <c r="C26" s="20" t="s">
        <v>284</v>
      </c>
      <c r="D26" s="20" t="s">
        <v>285</v>
      </c>
      <c r="E26" s="20" t="s">
        <v>286</v>
      </c>
      <c r="F26" s="20" t="s">
        <v>287</v>
      </c>
      <c r="G26" s="20" t="s">
        <v>238</v>
      </c>
      <c r="H26" s="20" t="s">
        <v>288</v>
      </c>
      <c r="I26" s="20" t="s">
        <v>289</v>
      </c>
      <c r="J26" s="20"/>
    </row>
    <row r="27" customFormat="false" ht="15" hidden="false" customHeight="false" outlineLevel="0" collapsed="false">
      <c r="A27" s="20" t="s">
        <v>65</v>
      </c>
      <c r="B27" s="20" t="s">
        <v>145</v>
      </c>
      <c r="C27" s="20" t="s">
        <v>284</v>
      </c>
      <c r="D27" s="20" t="s">
        <v>285</v>
      </c>
      <c r="E27" s="20" t="s">
        <v>290</v>
      </c>
      <c r="F27" s="20" t="s">
        <v>291</v>
      </c>
      <c r="G27" s="20" t="s">
        <v>277</v>
      </c>
      <c r="H27" s="20" t="s">
        <v>292</v>
      </c>
      <c r="I27" s="20" t="s">
        <v>293</v>
      </c>
      <c r="J27" s="20"/>
    </row>
    <row r="28" customFormat="false" ht="15" hidden="false" customHeight="false" outlineLevel="0" collapsed="false">
      <c r="A28" s="20" t="s">
        <v>65</v>
      </c>
      <c r="B28" s="20" t="s">
        <v>145</v>
      </c>
      <c r="C28" s="20" t="s">
        <v>284</v>
      </c>
      <c r="D28" s="20" t="s">
        <v>285</v>
      </c>
      <c r="E28" s="20" t="s">
        <v>294</v>
      </c>
      <c r="F28" s="20" t="s">
        <v>295</v>
      </c>
      <c r="G28" s="20" t="s">
        <v>238</v>
      </c>
      <c r="H28" s="20" t="s">
        <v>288</v>
      </c>
      <c r="I28" s="20" t="s">
        <v>296</v>
      </c>
      <c r="J28" s="20"/>
    </row>
    <row r="29" customFormat="false" ht="15" hidden="false" customHeight="false" outlineLevel="0" collapsed="false">
      <c r="A29" s="20" t="s">
        <v>65</v>
      </c>
      <c r="B29" s="20" t="s">
        <v>145</v>
      </c>
      <c r="C29" s="20" t="s">
        <v>284</v>
      </c>
      <c r="D29" s="20" t="s">
        <v>285</v>
      </c>
      <c r="E29" s="20" t="s">
        <v>297</v>
      </c>
      <c r="F29" s="20" t="s">
        <v>298</v>
      </c>
      <c r="G29" s="20" t="s">
        <v>277</v>
      </c>
      <c r="H29" s="20" t="s">
        <v>292</v>
      </c>
      <c r="I29" s="20" t="s">
        <v>299</v>
      </c>
      <c r="J29" s="20"/>
    </row>
    <row r="30" customFormat="false" ht="15" hidden="false" customHeight="false" outlineLevel="0" collapsed="false">
      <c r="A30" s="20" t="s">
        <v>65</v>
      </c>
      <c r="B30" s="20" t="s">
        <v>162</v>
      </c>
      <c r="C30" s="20" t="s">
        <v>300</v>
      </c>
      <c r="D30" s="20" t="s">
        <v>273</v>
      </c>
      <c r="E30" s="20" t="s">
        <v>301</v>
      </c>
      <c r="F30" s="20" t="s">
        <v>302</v>
      </c>
      <c r="G30" s="20" t="s">
        <v>238</v>
      </c>
      <c r="H30" s="20"/>
      <c r="I30" s="20"/>
      <c r="J30" s="20"/>
    </row>
    <row r="31" customFormat="false" ht="15" hidden="false" customHeight="false" outlineLevel="0" collapsed="false">
      <c r="A31" s="20" t="s">
        <v>65</v>
      </c>
      <c r="B31" s="20" t="s">
        <v>162</v>
      </c>
      <c r="C31" s="20" t="s">
        <v>300</v>
      </c>
      <c r="D31" s="20" t="s">
        <v>273</v>
      </c>
      <c r="E31" s="20" t="s">
        <v>303</v>
      </c>
      <c r="F31" s="20" t="s">
        <v>304</v>
      </c>
      <c r="G31" s="20" t="s">
        <v>277</v>
      </c>
      <c r="H31" s="20"/>
      <c r="I31" s="20"/>
      <c r="J31" s="20"/>
    </row>
    <row r="32" customFormat="false" ht="15" hidden="false" customHeight="false" outlineLevel="0" collapsed="false">
      <c r="A32" s="20" t="s">
        <v>65</v>
      </c>
      <c r="B32" s="20" t="s">
        <v>162</v>
      </c>
      <c r="C32" s="20" t="s">
        <v>300</v>
      </c>
      <c r="D32" s="20" t="s">
        <v>273</v>
      </c>
      <c r="E32" s="20" t="s">
        <v>305</v>
      </c>
      <c r="F32" s="20" t="s">
        <v>306</v>
      </c>
      <c r="G32" s="20" t="s">
        <v>238</v>
      </c>
      <c r="H32" s="20"/>
      <c r="I32" s="20"/>
      <c r="J32" s="20"/>
    </row>
    <row r="33" customFormat="false" ht="15" hidden="false" customHeight="false" outlineLevel="0" collapsed="false">
      <c r="A33" s="20" t="s">
        <v>65</v>
      </c>
      <c r="B33" s="20" t="s">
        <v>162</v>
      </c>
      <c r="C33" s="20" t="s">
        <v>307</v>
      </c>
      <c r="D33" s="20" t="s">
        <v>273</v>
      </c>
      <c r="E33" s="20" t="s">
        <v>308</v>
      </c>
      <c r="F33" s="20" t="s">
        <v>309</v>
      </c>
      <c r="G33" s="20" t="s">
        <v>238</v>
      </c>
      <c r="H33" s="20"/>
      <c r="I33" s="20"/>
      <c r="J33" s="20"/>
    </row>
    <row r="34" customFormat="false" ht="15" hidden="false" customHeight="false" outlineLevel="0" collapsed="false">
      <c r="A34" s="20" t="s">
        <v>65</v>
      </c>
      <c r="B34" s="20" t="s">
        <v>162</v>
      </c>
      <c r="C34" s="20" t="s">
        <v>307</v>
      </c>
      <c r="D34" s="20" t="s">
        <v>273</v>
      </c>
      <c r="E34" s="20" t="s">
        <v>310</v>
      </c>
      <c r="F34" s="20" t="s">
        <v>311</v>
      </c>
      <c r="G34" s="20" t="s">
        <v>238</v>
      </c>
      <c r="H34" s="20"/>
      <c r="I34" s="20"/>
      <c r="J34" s="20"/>
    </row>
    <row r="35" customFormat="false" ht="15" hidden="false" customHeight="false" outlineLevel="0" collapsed="false">
      <c r="A35" s="20" t="s">
        <v>65</v>
      </c>
      <c r="B35" s="20" t="s">
        <v>162</v>
      </c>
      <c r="C35" s="20" t="s">
        <v>307</v>
      </c>
      <c r="D35" s="20" t="s">
        <v>273</v>
      </c>
      <c r="E35" s="20" t="s">
        <v>312</v>
      </c>
      <c r="F35" s="20" t="s">
        <v>313</v>
      </c>
      <c r="G35" s="20" t="s">
        <v>238</v>
      </c>
      <c r="H35" s="20"/>
      <c r="I35" s="20"/>
      <c r="J35" s="20"/>
    </row>
    <row r="36" customFormat="false" ht="15" hidden="false" customHeight="false" outlineLevel="0" collapsed="false">
      <c r="A36" s="20" t="s">
        <v>65</v>
      </c>
      <c r="B36" s="20" t="s">
        <v>162</v>
      </c>
      <c r="C36" s="20" t="s">
        <v>307</v>
      </c>
      <c r="D36" s="20" t="s">
        <v>273</v>
      </c>
      <c r="E36" s="20" t="s">
        <v>314</v>
      </c>
      <c r="F36" s="20" t="s">
        <v>315</v>
      </c>
      <c r="G36" s="20" t="s">
        <v>238</v>
      </c>
      <c r="H36" s="20"/>
      <c r="I36" s="20"/>
      <c r="J36" s="20"/>
    </row>
    <row r="37" customFormat="false" ht="15" hidden="false" customHeight="false" outlineLevel="0" collapsed="false">
      <c r="A37" s="20" t="s">
        <v>65</v>
      </c>
      <c r="B37" s="20" t="s">
        <v>145</v>
      </c>
      <c r="C37" s="20" t="s">
        <v>316</v>
      </c>
      <c r="D37" s="20" t="s">
        <v>195</v>
      </c>
      <c r="E37" s="20" t="s">
        <v>317</v>
      </c>
      <c r="F37" s="20" t="s">
        <v>318</v>
      </c>
      <c r="G37" s="20" t="s">
        <v>238</v>
      </c>
      <c r="H37" s="20"/>
      <c r="I37" s="20"/>
      <c r="J37" s="20" t="s">
        <v>319</v>
      </c>
    </row>
    <row r="38" customFormat="false" ht="15" hidden="false" customHeight="false" outlineLevel="0" collapsed="false">
      <c r="A38" s="20" t="s">
        <v>65</v>
      </c>
      <c r="B38" s="20" t="s">
        <v>145</v>
      </c>
      <c r="C38" s="20" t="s">
        <v>320</v>
      </c>
      <c r="D38" s="20" t="s">
        <v>195</v>
      </c>
      <c r="E38" s="20" t="s">
        <v>321</v>
      </c>
      <c r="F38" s="20" t="s">
        <v>322</v>
      </c>
      <c r="G38" s="20" t="s">
        <v>238</v>
      </c>
      <c r="H38" s="20"/>
      <c r="I38" s="20"/>
      <c r="J38" s="20" t="s">
        <v>319</v>
      </c>
    </row>
    <row r="40" customFormat="false" ht="19.5" hidden="false" customHeight="true" outlineLevel="0" collapsed="false">
      <c r="A40" s="19" t="s">
        <v>323</v>
      </c>
      <c r="B40" s="19"/>
      <c r="C40" s="19"/>
      <c r="D40" s="19"/>
      <c r="E40" s="19"/>
      <c r="F40" s="19"/>
      <c r="G40" s="19"/>
      <c r="H40" s="19"/>
      <c r="I40" s="19"/>
      <c r="J40" s="19"/>
    </row>
    <row r="41" customFormat="false" ht="15" hidden="false" customHeight="false" outlineLevel="0" collapsed="false">
      <c r="A41" s="20" t="s">
        <v>66</v>
      </c>
      <c r="B41" s="20" t="s">
        <v>145</v>
      </c>
      <c r="C41" s="20" t="s">
        <v>324</v>
      </c>
      <c r="D41" s="20" t="s">
        <v>235</v>
      </c>
      <c r="E41" s="21"/>
      <c r="F41" s="21"/>
      <c r="G41" s="20" t="s">
        <v>238</v>
      </c>
      <c r="H41" s="20"/>
      <c r="I41" s="20"/>
      <c r="J41" s="20"/>
    </row>
    <row r="42" customFormat="false" ht="15" hidden="false" customHeight="false" outlineLevel="0" collapsed="false">
      <c r="A42" s="20" t="s">
        <v>66</v>
      </c>
      <c r="B42" s="20" t="s">
        <v>145</v>
      </c>
      <c r="C42" s="20" t="s">
        <v>325</v>
      </c>
      <c r="D42" s="20" t="s">
        <v>235</v>
      </c>
      <c r="E42" s="21"/>
      <c r="F42" s="21"/>
      <c r="G42" s="20" t="s">
        <v>238</v>
      </c>
      <c r="H42" s="20"/>
      <c r="I42" s="20"/>
      <c r="J42" s="20"/>
    </row>
    <row r="43" customFormat="false" ht="15" hidden="false" customHeight="false" outlineLevel="0" collapsed="false">
      <c r="A43" s="20" t="s">
        <v>66</v>
      </c>
      <c r="B43" s="20" t="s">
        <v>145</v>
      </c>
      <c r="C43" s="20" t="s">
        <v>326</v>
      </c>
      <c r="D43" s="20" t="s">
        <v>235</v>
      </c>
      <c r="E43" s="21"/>
      <c r="F43" s="21"/>
      <c r="G43" s="20" t="s">
        <v>238</v>
      </c>
      <c r="H43" s="20"/>
      <c r="I43" s="20"/>
      <c r="J43" s="20"/>
    </row>
    <row r="44" customFormat="false" ht="15" hidden="false" customHeight="false" outlineLevel="0" collapsed="false">
      <c r="A44" s="20" t="s">
        <v>66</v>
      </c>
      <c r="B44" s="20" t="s">
        <v>145</v>
      </c>
      <c r="C44" s="20" t="s">
        <v>327</v>
      </c>
      <c r="D44" s="20" t="s">
        <v>273</v>
      </c>
      <c r="E44" s="21"/>
      <c r="F44" s="21"/>
      <c r="G44" s="20" t="s">
        <v>238</v>
      </c>
      <c r="H44" s="20"/>
      <c r="I44" s="20"/>
      <c r="J44" s="20"/>
    </row>
    <row r="45" customFormat="false" ht="15" hidden="false" customHeight="false" outlineLevel="0" collapsed="false">
      <c r="A45" s="20" t="s">
        <v>66</v>
      </c>
      <c r="B45" s="20" t="s">
        <v>145</v>
      </c>
      <c r="C45" s="20" t="s">
        <v>328</v>
      </c>
      <c r="D45" s="20" t="s">
        <v>285</v>
      </c>
      <c r="E45" s="21"/>
      <c r="F45" s="21"/>
      <c r="G45" s="20" t="s">
        <v>238</v>
      </c>
      <c r="H45" s="20"/>
      <c r="I45" s="20"/>
      <c r="J45" s="20"/>
    </row>
    <row r="46" customFormat="false" ht="15" hidden="false" customHeight="false" outlineLevel="0" collapsed="false">
      <c r="A46" s="20" t="s">
        <v>66</v>
      </c>
      <c r="B46" s="20" t="s">
        <v>145</v>
      </c>
      <c r="C46" s="20" t="s">
        <v>108</v>
      </c>
      <c r="D46" s="20" t="s">
        <v>273</v>
      </c>
      <c r="E46" s="21"/>
      <c r="F46" s="21"/>
      <c r="G46" s="20" t="s">
        <v>238</v>
      </c>
      <c r="H46" s="20"/>
      <c r="I46" s="20"/>
      <c r="J46" s="20"/>
    </row>
    <row r="47" customFormat="false" ht="15" hidden="false" customHeight="false" outlineLevel="0" collapsed="false">
      <c r="A47" s="20" t="s">
        <v>66</v>
      </c>
      <c r="B47" s="20" t="s">
        <v>145</v>
      </c>
      <c r="C47" s="20" t="s">
        <v>329</v>
      </c>
      <c r="D47" s="20" t="s">
        <v>195</v>
      </c>
      <c r="E47" s="21"/>
      <c r="F47" s="21"/>
      <c r="G47" s="20" t="s">
        <v>238</v>
      </c>
      <c r="H47" s="20"/>
      <c r="I47" s="20"/>
      <c r="J47" s="20"/>
    </row>
    <row r="48" customFormat="false" ht="15" hidden="false" customHeight="false" outlineLevel="0" collapsed="false">
      <c r="A48" s="20" t="s">
        <v>66</v>
      </c>
      <c r="B48" s="20" t="s">
        <v>162</v>
      </c>
      <c r="C48" s="20" t="s">
        <v>330</v>
      </c>
      <c r="D48" s="20" t="s">
        <v>235</v>
      </c>
      <c r="E48" s="21"/>
      <c r="F48" s="21"/>
      <c r="G48" s="20" t="s">
        <v>238</v>
      </c>
      <c r="H48" s="20"/>
      <c r="I48" s="20"/>
      <c r="J48" s="20"/>
    </row>
    <row r="49" customFormat="false" ht="15" hidden="false" customHeight="false" outlineLevel="0" collapsed="false">
      <c r="A49" s="20" t="s">
        <v>66</v>
      </c>
      <c r="B49" s="20" t="s">
        <v>162</v>
      </c>
      <c r="C49" s="20" t="s">
        <v>331</v>
      </c>
      <c r="D49" s="20" t="s">
        <v>235</v>
      </c>
      <c r="E49" s="21"/>
      <c r="F49" s="21"/>
      <c r="G49" s="20" t="s">
        <v>238</v>
      </c>
      <c r="H49" s="20"/>
      <c r="I49" s="20"/>
      <c r="J49" s="20"/>
    </row>
    <row r="51" customFormat="false" ht="19.5" hidden="false" customHeight="true" outlineLevel="0" collapsed="false">
      <c r="A51" s="19" t="s">
        <v>332</v>
      </c>
      <c r="B51" s="19"/>
      <c r="C51" s="19"/>
      <c r="D51" s="19"/>
      <c r="E51" s="19"/>
      <c r="F51" s="19"/>
      <c r="G51" s="19"/>
      <c r="H51" s="19"/>
      <c r="I51" s="19"/>
      <c r="J51" s="19"/>
    </row>
    <row r="52" customFormat="false" ht="15" hidden="false" customHeight="false" outlineLevel="0" collapsed="false">
      <c r="A52" s="20" t="s">
        <v>67</v>
      </c>
      <c r="B52" s="20" t="s">
        <v>145</v>
      </c>
      <c r="C52" s="20" t="s">
        <v>333</v>
      </c>
      <c r="D52" s="20" t="s">
        <v>235</v>
      </c>
      <c r="E52" s="21"/>
      <c r="F52" s="21"/>
      <c r="G52" s="20" t="s">
        <v>238</v>
      </c>
      <c r="H52" s="20"/>
      <c r="I52" s="20"/>
      <c r="J52" s="20"/>
    </row>
    <row r="53" customFormat="false" ht="15" hidden="false" customHeight="false" outlineLevel="0" collapsed="false">
      <c r="A53" s="20" t="s">
        <v>67</v>
      </c>
      <c r="B53" s="20" t="s">
        <v>145</v>
      </c>
      <c r="C53" s="20" t="s">
        <v>334</v>
      </c>
      <c r="D53" s="20" t="s">
        <v>235</v>
      </c>
      <c r="E53" s="21"/>
      <c r="F53" s="21"/>
      <c r="G53" s="20" t="s">
        <v>238</v>
      </c>
      <c r="H53" s="20"/>
      <c r="I53" s="20"/>
      <c r="J53" s="20"/>
    </row>
    <row r="54" customFormat="false" ht="15" hidden="false" customHeight="false" outlineLevel="0" collapsed="false">
      <c r="A54" s="20" t="s">
        <v>67</v>
      </c>
      <c r="B54" s="20" t="s">
        <v>145</v>
      </c>
      <c r="C54" s="20" t="s">
        <v>335</v>
      </c>
      <c r="D54" s="20" t="s">
        <v>235</v>
      </c>
      <c r="E54" s="21"/>
      <c r="F54" s="21"/>
      <c r="G54" s="20" t="s">
        <v>238</v>
      </c>
      <c r="H54" s="20"/>
      <c r="I54" s="20"/>
      <c r="J54" s="20"/>
    </row>
    <row r="55" customFormat="false" ht="15" hidden="false" customHeight="false" outlineLevel="0" collapsed="false">
      <c r="A55" s="20" t="s">
        <v>67</v>
      </c>
      <c r="B55" s="20" t="s">
        <v>145</v>
      </c>
      <c r="C55" s="20" t="s">
        <v>327</v>
      </c>
      <c r="D55" s="20" t="s">
        <v>273</v>
      </c>
      <c r="E55" s="21"/>
      <c r="F55" s="21"/>
      <c r="G55" s="20" t="s">
        <v>238</v>
      </c>
      <c r="H55" s="20"/>
      <c r="I55" s="20"/>
      <c r="J55" s="20"/>
    </row>
    <row r="56" customFormat="false" ht="15" hidden="false" customHeight="false" outlineLevel="0" collapsed="false">
      <c r="A56" s="20" t="s">
        <v>67</v>
      </c>
      <c r="B56" s="20" t="s">
        <v>145</v>
      </c>
      <c r="C56" s="20" t="s">
        <v>336</v>
      </c>
      <c r="D56" s="20" t="s">
        <v>285</v>
      </c>
      <c r="E56" s="21"/>
      <c r="F56" s="21"/>
      <c r="G56" s="20" t="s">
        <v>238</v>
      </c>
      <c r="H56" s="20"/>
      <c r="I56" s="20"/>
      <c r="J56" s="20"/>
    </row>
    <row r="57" customFormat="false" ht="15" hidden="false" customHeight="false" outlineLevel="0" collapsed="false">
      <c r="A57" s="20" t="s">
        <v>67</v>
      </c>
      <c r="B57" s="20" t="s">
        <v>145</v>
      </c>
      <c r="C57" s="20" t="s">
        <v>108</v>
      </c>
      <c r="D57" s="20" t="s">
        <v>273</v>
      </c>
      <c r="E57" s="21"/>
      <c r="F57" s="21"/>
      <c r="G57" s="20" t="s">
        <v>238</v>
      </c>
      <c r="H57" s="20"/>
      <c r="I57" s="20"/>
      <c r="J57" s="20"/>
    </row>
    <row r="58" customFormat="false" ht="15" hidden="false" customHeight="false" outlineLevel="0" collapsed="false">
      <c r="A58" s="20" t="s">
        <v>67</v>
      </c>
      <c r="B58" s="20" t="s">
        <v>145</v>
      </c>
      <c r="C58" s="20" t="s">
        <v>337</v>
      </c>
      <c r="D58" s="20" t="s">
        <v>195</v>
      </c>
      <c r="E58" s="21"/>
      <c r="F58" s="21"/>
      <c r="G58" s="20" t="s">
        <v>238</v>
      </c>
      <c r="H58" s="20"/>
      <c r="I58" s="20"/>
      <c r="J58" s="20"/>
    </row>
    <row r="59" customFormat="false" ht="15" hidden="false" customHeight="false" outlineLevel="0" collapsed="false">
      <c r="A59" s="20" t="s">
        <v>67</v>
      </c>
      <c r="B59" s="20" t="s">
        <v>162</v>
      </c>
      <c r="C59" s="20" t="s">
        <v>338</v>
      </c>
      <c r="D59" s="20" t="s">
        <v>235</v>
      </c>
      <c r="E59" s="21"/>
      <c r="F59" s="21"/>
      <c r="G59" s="20" t="s">
        <v>238</v>
      </c>
      <c r="H59" s="20"/>
      <c r="I59" s="20"/>
      <c r="J59" s="20"/>
    </row>
    <row r="60" customFormat="false" ht="15" hidden="false" customHeight="false" outlineLevel="0" collapsed="false">
      <c r="A60" s="20" t="s">
        <v>67</v>
      </c>
      <c r="B60" s="20" t="s">
        <v>162</v>
      </c>
      <c r="C60" s="20" t="s">
        <v>339</v>
      </c>
      <c r="D60" s="20" t="s">
        <v>235</v>
      </c>
      <c r="E60" s="21"/>
      <c r="F60" s="21"/>
      <c r="G60" s="20" t="s">
        <v>238</v>
      </c>
      <c r="H60" s="20"/>
      <c r="I60" s="20"/>
      <c r="J60" s="20"/>
    </row>
    <row r="61" customFormat="false" ht="15" hidden="false" customHeight="false" outlineLevel="0" collapsed="false">
      <c r="A61" s="20" t="s">
        <v>67</v>
      </c>
      <c r="B61" s="20" t="s">
        <v>162</v>
      </c>
      <c r="C61" s="20" t="s">
        <v>340</v>
      </c>
      <c r="D61" s="20" t="s">
        <v>235</v>
      </c>
      <c r="E61" s="21"/>
      <c r="F61" s="21"/>
      <c r="G61" s="20" t="s">
        <v>238</v>
      </c>
      <c r="H61" s="20"/>
      <c r="I61" s="20"/>
      <c r="J61" s="20"/>
    </row>
    <row r="63" customFormat="false" ht="19.5" hidden="false" customHeight="true" outlineLevel="0" collapsed="false">
      <c r="A63" s="19" t="s">
        <v>341</v>
      </c>
      <c r="B63" s="19"/>
      <c r="C63" s="19"/>
      <c r="D63" s="19"/>
      <c r="E63" s="19"/>
      <c r="F63" s="19"/>
      <c r="G63" s="19"/>
      <c r="H63" s="19"/>
      <c r="I63" s="19"/>
      <c r="J63" s="19"/>
    </row>
    <row r="64" customFormat="false" ht="15" hidden="false" customHeight="false" outlineLevel="0" collapsed="false">
      <c r="A64" s="20" t="s">
        <v>68</v>
      </c>
      <c r="B64" s="20" t="s">
        <v>145</v>
      </c>
      <c r="C64" s="20" t="s">
        <v>342</v>
      </c>
      <c r="D64" s="20" t="s">
        <v>235</v>
      </c>
      <c r="E64" s="21"/>
      <c r="F64" s="21"/>
      <c r="G64" s="20" t="s">
        <v>238</v>
      </c>
      <c r="H64" s="20"/>
      <c r="I64" s="20"/>
      <c r="J64" s="20"/>
    </row>
    <row r="65" customFormat="false" ht="15" hidden="false" customHeight="false" outlineLevel="0" collapsed="false">
      <c r="A65" s="20" t="s">
        <v>68</v>
      </c>
      <c r="B65" s="20" t="s">
        <v>145</v>
      </c>
      <c r="C65" s="20" t="s">
        <v>343</v>
      </c>
      <c r="D65" s="20" t="s">
        <v>235</v>
      </c>
      <c r="E65" s="21"/>
      <c r="F65" s="21"/>
      <c r="G65" s="20" t="s">
        <v>238</v>
      </c>
      <c r="H65" s="20"/>
      <c r="I65" s="20"/>
      <c r="J65" s="20"/>
    </row>
    <row r="66" customFormat="false" ht="15" hidden="false" customHeight="false" outlineLevel="0" collapsed="false">
      <c r="A66" s="20" t="s">
        <v>68</v>
      </c>
      <c r="B66" s="20" t="s">
        <v>145</v>
      </c>
      <c r="C66" s="20" t="s">
        <v>327</v>
      </c>
      <c r="D66" s="20" t="s">
        <v>273</v>
      </c>
      <c r="E66" s="21"/>
      <c r="F66" s="21"/>
      <c r="G66" s="20" t="s">
        <v>238</v>
      </c>
      <c r="H66" s="20"/>
      <c r="I66" s="20"/>
      <c r="J66" s="20"/>
    </row>
    <row r="67" customFormat="false" ht="15" hidden="false" customHeight="false" outlineLevel="0" collapsed="false">
      <c r="A67" s="20" t="s">
        <v>68</v>
      </c>
      <c r="B67" s="20" t="s">
        <v>145</v>
      </c>
      <c r="C67" s="20" t="s">
        <v>344</v>
      </c>
      <c r="D67" s="20" t="s">
        <v>285</v>
      </c>
      <c r="E67" s="21"/>
      <c r="F67" s="21"/>
      <c r="G67" s="20" t="s">
        <v>238</v>
      </c>
      <c r="H67" s="20"/>
      <c r="I67" s="20"/>
      <c r="J67" s="20"/>
    </row>
    <row r="68" customFormat="false" ht="15" hidden="false" customHeight="false" outlineLevel="0" collapsed="false">
      <c r="A68" s="20" t="s">
        <v>68</v>
      </c>
      <c r="B68" s="20" t="s">
        <v>145</v>
      </c>
      <c r="C68" s="20" t="s">
        <v>108</v>
      </c>
      <c r="D68" s="20" t="s">
        <v>273</v>
      </c>
      <c r="E68" s="21"/>
      <c r="F68" s="21"/>
      <c r="G68" s="20" t="s">
        <v>238</v>
      </c>
      <c r="H68" s="20"/>
      <c r="I68" s="20"/>
      <c r="J68" s="20"/>
    </row>
    <row r="69" customFormat="false" ht="15" hidden="false" customHeight="false" outlineLevel="0" collapsed="false">
      <c r="A69" s="20" t="s">
        <v>68</v>
      </c>
      <c r="B69" s="20" t="s">
        <v>145</v>
      </c>
      <c r="C69" s="20" t="s">
        <v>345</v>
      </c>
      <c r="D69" s="20" t="s">
        <v>195</v>
      </c>
      <c r="E69" s="21"/>
      <c r="F69" s="21"/>
      <c r="G69" s="20" t="s">
        <v>238</v>
      </c>
      <c r="H69" s="20"/>
      <c r="I69" s="20"/>
      <c r="J69" s="20"/>
    </row>
    <row r="70" customFormat="false" ht="15" hidden="false" customHeight="false" outlineLevel="0" collapsed="false">
      <c r="A70" s="20" t="s">
        <v>68</v>
      </c>
      <c r="B70" s="20" t="s">
        <v>162</v>
      </c>
      <c r="C70" s="20" t="s">
        <v>346</v>
      </c>
      <c r="D70" s="20" t="s">
        <v>235</v>
      </c>
      <c r="E70" s="21"/>
      <c r="F70" s="21"/>
      <c r="G70" s="20" t="s">
        <v>238</v>
      </c>
      <c r="H70" s="20"/>
      <c r="I70" s="20"/>
      <c r="J70" s="20"/>
    </row>
    <row r="71" customFormat="false" ht="15" hidden="false" customHeight="false" outlineLevel="0" collapsed="false">
      <c r="A71" s="20" t="s">
        <v>68</v>
      </c>
      <c r="B71" s="20" t="s">
        <v>162</v>
      </c>
      <c r="C71" s="20" t="s">
        <v>347</v>
      </c>
      <c r="D71" s="20" t="s">
        <v>235</v>
      </c>
      <c r="E71" s="21"/>
      <c r="F71" s="21"/>
      <c r="G71" s="20" t="s">
        <v>238</v>
      </c>
      <c r="H71" s="20"/>
      <c r="I71" s="20"/>
      <c r="J71" s="20"/>
    </row>
    <row r="72" customFormat="false" ht="15" hidden="false" customHeight="false" outlineLevel="0" collapsed="false">
      <c r="A72" s="20" t="s">
        <v>68</v>
      </c>
      <c r="B72" s="20" t="s">
        <v>162</v>
      </c>
      <c r="C72" s="20" t="s">
        <v>348</v>
      </c>
      <c r="D72" s="20" t="s">
        <v>235</v>
      </c>
      <c r="E72" s="21"/>
      <c r="F72" s="21"/>
      <c r="G72" s="20" t="s">
        <v>238</v>
      </c>
      <c r="H72" s="20"/>
      <c r="I72" s="20"/>
      <c r="J72" s="20"/>
    </row>
    <row r="74" customFormat="false" ht="15" hidden="false" customHeight="false" outlineLevel="0" collapsed="false">
      <c r="A74" s="22" t="s">
        <v>349</v>
      </c>
      <c r="B74" s="22"/>
      <c r="C74" s="22"/>
      <c r="D74" s="22"/>
      <c r="E74" s="22"/>
      <c r="F74" s="22"/>
      <c r="G74" s="22"/>
      <c r="H74" s="22"/>
      <c r="I74" s="22"/>
      <c r="J74" s="22"/>
    </row>
    <row r="75" customFormat="false" ht="15" hidden="false" customHeight="false" outlineLevel="0" collapsed="false">
      <c r="A75" s="23" t="s">
        <v>66</v>
      </c>
      <c r="B75" s="23" t="s">
        <v>145</v>
      </c>
      <c r="C75" s="23" t="s">
        <v>324</v>
      </c>
      <c r="D75" s="23" t="s">
        <v>235</v>
      </c>
      <c r="E75" s="23" t="s">
        <v>350</v>
      </c>
      <c r="F75" s="23" t="s">
        <v>351</v>
      </c>
      <c r="G75" s="23" t="s">
        <v>238</v>
      </c>
      <c r="H75" s="23"/>
      <c r="I75" s="23"/>
      <c r="J75" s="23" t="s">
        <v>352</v>
      </c>
    </row>
  </sheetData>
  <autoFilter ref="A1:J72"/>
  <mergeCells count="5">
    <mergeCell ref="A2:J2"/>
    <mergeCell ref="A40:J40"/>
    <mergeCell ref="A51:J51"/>
    <mergeCell ref="A63:J63"/>
    <mergeCell ref="A74:J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2026-07-28T21:32:14Z</dcterms:created>
  <dc:creator>openpyxl</dc:creator>
  <dc:description/>
  <dc:language>es-MX</dc:language>
  <cp:lastModifiedBy/>
  <dcterms:modified xsi:type="dcterms:W3CDTF">2026-07-28T21:32:14Z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